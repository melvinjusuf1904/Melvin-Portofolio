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"/>
    </mc:Choice>
  </mc:AlternateContent>
  <xr:revisionPtr revIDLastSave="0" documentId="13_ncr:1_{3B1025E3-C624-6140-8A13-76B0BA167E23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Arus Ka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2" i="1" l="1"/>
  <c r="J72" i="1"/>
  <c r="I72" i="1"/>
  <c r="H72" i="1"/>
  <c r="G72" i="1"/>
  <c r="F72" i="1"/>
  <c r="E72" i="1"/>
  <c r="D72" i="1"/>
  <c r="C72" i="1"/>
  <c r="B72" i="1"/>
  <c r="K43" i="1"/>
  <c r="J43" i="1"/>
  <c r="I43" i="1"/>
  <c r="H43" i="1"/>
  <c r="G43" i="1"/>
  <c r="F43" i="1"/>
  <c r="E43" i="1"/>
  <c r="D43" i="1"/>
  <c r="C43" i="1"/>
  <c r="B43" i="1"/>
  <c r="K18" i="1"/>
  <c r="K76" i="1" s="1"/>
  <c r="K82" i="1" s="1"/>
  <c r="J18" i="1"/>
  <c r="J76" i="1" s="1"/>
  <c r="J82" i="1" s="1"/>
  <c r="I18" i="1"/>
  <c r="I76" i="1" s="1"/>
  <c r="I82" i="1" s="1"/>
  <c r="H18" i="1"/>
  <c r="H76" i="1" s="1"/>
  <c r="H82" i="1" s="1"/>
  <c r="G18" i="1"/>
  <c r="G76" i="1" s="1"/>
  <c r="G82" i="1" s="1"/>
  <c r="F18" i="1"/>
  <c r="F76" i="1" s="1"/>
  <c r="F82" i="1" s="1"/>
  <c r="E18" i="1"/>
  <c r="E76" i="1" s="1"/>
  <c r="E82" i="1" s="1"/>
  <c r="D18" i="1"/>
  <c r="D76" i="1" s="1"/>
  <c r="D82" i="1" s="1"/>
  <c r="C18" i="1"/>
  <c r="C76" i="1" s="1"/>
  <c r="C82" i="1" s="1"/>
  <c r="B18" i="1"/>
  <c r="B76" i="1" s="1"/>
  <c r="B82" i="1" s="1"/>
</calcChain>
</file>

<file path=xl/sharedStrings.xml><?xml version="1.0" encoding="utf-8"?>
<sst xmlns="http://schemas.openxmlformats.org/spreadsheetml/2006/main" count="87" uniqueCount="86">
  <si>
    <t>Keterangan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</si>
  <si>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</si>
  <si>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</si>
  <si>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</si>
  <si>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</si>
  <si>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</si>
  <si>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</si>
  <si>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</si>
  <si>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</si>
  <si>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</si>
  <si>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</si>
  <si>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ARUS KAS DARI AKTIVITAS OPERASI</t>
  </si>
  <si>
    <t>Penerimaan Kas Dari Pelanggan</t>
  </si>
  <si>
    <t>Penerimaan Dari Pemegang Saham</t>
  </si>
  <si>
    <t>Penerimaan Dari Anak Perusahaan</t>
  </si>
  <si>
    <t>Pembayaran Kas Kepada Pemasok Dan Karyawan</t>
  </si>
  <si>
    <t>Pemasok Dan Lain-Lain</t>
  </si>
  <si>
    <t>Karyawan</t>
  </si>
  <si>
    <t>Total Pembayaran Kas Kepada Pemasok Dan Karyawan</t>
  </si>
  <si>
    <t>Penerimaan Bunga</t>
  </si>
  <si>
    <t>Pembayaran Bunga Dan Beban Keuangan</t>
  </si>
  <si>
    <t>Pembayaran Pajak Penghasilan</t>
  </si>
  <si>
    <t>Penerimaan Restitusi Pajak</t>
  </si>
  <si>
    <t>Penerimaan (Pembayaran) Dana Lain-Lain</t>
  </si>
  <si>
    <t>Total Arus Kas Dari Aktivitas Operasi</t>
  </si>
  <si>
    <t>ARUS KAS DARI AKTIVITAS INVESTASI</t>
  </si>
  <si>
    <t>Perolehan Aset Tetap</t>
  </si>
  <si>
    <t>Pelepasan Aset Tetap</t>
  </si>
  <si>
    <t>Perolehan Aset Tak Berwujud</t>
  </si>
  <si>
    <t>Perolehan Properti Pertambangan</t>
  </si>
  <si>
    <t>Pembayaran Uang Muka Proyek</t>
  </si>
  <si>
    <t>Penurunan (Kenaikan) Uang Muka Investasi</t>
  </si>
  <si>
    <t>Pengeluaran Kas Untuk Akuisisi</t>
  </si>
  <si>
    <t>Pelepasan Entitas Anak</t>
  </si>
  <si>
    <t>Laba Atas Penjualan Aset Tetap</t>
  </si>
  <si>
    <t>Penerimaan Dividen</t>
  </si>
  <si>
    <t>Penempatan Investasi Jangka Panjang (1)</t>
  </si>
  <si>
    <t>Penempatan Investasi Jangka Panjang (2)</t>
  </si>
  <si>
    <t>Pembayaran Refundable Deposit</t>
  </si>
  <si>
    <t>Pembayaran Kepada Pihak Non Pengendali</t>
  </si>
  <si>
    <t>Penerimaan Atas Divestasi</t>
  </si>
  <si>
    <t>Pembayaran Biaya Terkait Divestasi</t>
  </si>
  <si>
    <t>Perolehan Entitas Anak</t>
  </si>
  <si>
    <t>Penambahan Investasi Pada Entitas Asosiasi (1)</t>
  </si>
  <si>
    <t>Penambahan Investasi Pada Entitas Asosiasi (2)</t>
  </si>
  <si>
    <t>Penempatan Kas Di Bank Dalam Pembatasan</t>
  </si>
  <si>
    <t>Uang Muka Investasi Dan Akuisisi</t>
  </si>
  <si>
    <t>Pelepasan (Penambahan) Aset Lainnya</t>
  </si>
  <si>
    <t>Total Arus Kas Dari Aktivitas Investasi</t>
  </si>
  <si>
    <t>ARUS KAS DARI AKTIVITAS PENDANAAN</t>
  </si>
  <si>
    <t>(Penambahan) Pencairan Kas Yang Dibatasi</t>
  </si>
  <si>
    <t>Penerimaan Dari (Pembayaran Kepada) Pihak Berelasi</t>
  </si>
  <si>
    <t>Penerimaan Deviden</t>
  </si>
  <si>
    <t>Pembayaran Deviden</t>
  </si>
  <si>
    <t>Pembayaran Dividen Kas Entitas Anak Ke Non Pengendali</t>
  </si>
  <si>
    <t>Penerimaan Kas Dari Penambahan Modal Non Pengendali</t>
  </si>
  <si>
    <t>Pembelian Saham Treasuri</t>
  </si>
  <si>
    <t>Penambahan Modal Hasil Penawaran Umum</t>
  </si>
  <si>
    <t>Penerimaan (Pembayaran) Utang Pihak Berelasi</t>
  </si>
  <si>
    <t>Penambahan (Pengurangan) Utang Jangka Pendek Lainnya</t>
  </si>
  <si>
    <t>Penerimaan Dari Penerbitan Obligasi/Surat Utang</t>
  </si>
  <si>
    <t>Pembayaran Biaya Emisi Dan Penerbitan Saham</t>
  </si>
  <si>
    <t>Pembayaran Deposito</t>
  </si>
  <si>
    <t>Penerimaan Dari Penawaran Umum Saham</t>
  </si>
  <si>
    <t>Pembayaran Biaya Penerbitan Saham</t>
  </si>
  <si>
    <t>Setoran Modal Dari Non Pengendali</t>
  </si>
  <si>
    <t>Penerimaan (Pembayaran) Pinjaman Lainnya</t>
  </si>
  <si>
    <t>Kenaikan (Penurunan) Piutang Pihak Berelasi</t>
  </si>
  <si>
    <t>Utang Dagang</t>
  </si>
  <si>
    <t>Penurunan Utang Lainnya</t>
  </si>
  <si>
    <t>Penerimaan Utang Bank</t>
  </si>
  <si>
    <t>Pembayaran Utang Bank</t>
  </si>
  <si>
    <t>Pembayaran Utang Sewa Pembiayaan</t>
  </si>
  <si>
    <t>Pembayaran Liabilitas Sewa</t>
  </si>
  <si>
    <t>Penerimaan (Pengeluaran) Lainnya</t>
  </si>
  <si>
    <t>Adjustment</t>
  </si>
  <si>
    <t>Total Arus Kas Dari Aktivitas Pendanaan</t>
  </si>
  <si>
    <t>RINGKASAN ARUS KAS</t>
  </si>
  <si>
    <t>Dampak Neto Perubahan Nilai Tukar</t>
  </si>
  <si>
    <t>Kenaikan (Penurunan) Bersih Kas Dan Setara Kas</t>
  </si>
  <si>
    <t>Kas Dan Setara Kas Awal Periode</t>
  </si>
  <si>
    <t>Dampak Reklasifikasi Deposito</t>
  </si>
  <si>
    <t>Dampak Perubahan Kepemilikan Entitas Anak</t>
  </si>
  <si>
    <t>Penyesuaian Kas Setara Dan Setara Kas</t>
  </si>
  <si>
    <t>Kas Dan Setara Kas Akhir Periode</t>
  </si>
  <si>
    <t>CASH FLOW - PT Rukun Raharja Tbk (RAJA)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</si>
</sst>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 B&quot;;\(#,##0\)&quot; B&quot;;\-"/>
  </numFmts>
  <fonts count="11" x14ac:knownFonts="1">
    <font>
      <sz val="11"/>
      <color theme="1"/>
      <name val="Calibri"/>
      <family val="2"/>
      <charset val="1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8"/>
      <color rgb="FF80808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rgb="FF0000FF"/>
      <name val="Arial"/>
      <family val="2"/>
    </font>
    <font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1"/>
        <bgColor rgb="FF2E75B6"/>
      </patternFill>
    </fill>
    <fill>
      <patternFill patternType="solid">
        <fgColor theme="0" tint="-0.249977111117893"/>
        <bgColor rgb="FF4472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CC99"/>
      </patternFill>
    </fill>
    <fill>
      <patternFill patternType="solid">
        <fgColor theme="0" tint="-0.24997711111789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8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5" fontId="4" fillId="6" borderId="1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 vertical="center" indent="2"/>
    </xf>
    <xf numFmtId="165" fontId="9" fillId="0" borderId="1" xfId="0" applyNumberFormat="1" applyFont="1" applyBorder="1" applyAlignment="1">
      <alignment horizontal="right"/>
    </xf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6" customWidth="1"/>
    <col min="2" max="11" width="12" customWidth="1"/>
  </cols>
  <sheetData>
    <row r="1" spans="1:11" ht="24" customHeight="1" x14ac:dyDescent="0.2">
      <c r="A1" s="6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18" customHeight="1" x14ac:dyDescent="0.2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</row>
    <row r="5" spans="1:11" ht="19.5" customHeight="1" x14ac:dyDescent="0.2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2" t="s">
        <v>12</v>
      </c>
      <c r="B6" s="15">
        <v>4480</v>
      </c>
      <c r="C6" s="15">
        <v>4128</v>
      </c>
      <c r="D6" s="15">
        <v>2916</v>
      </c>
      <c r="E6" s="15">
        <v>1913</v>
      </c>
      <c r="F6" s="15">
        <v>1385</v>
      </c>
      <c r="G6" s="15">
        <v>1461</v>
      </c>
      <c r="H6" s="15">
        <v>1684</v>
      </c>
      <c r="I6" s="15">
        <v>1849</v>
      </c>
      <c r="J6" s="15">
        <v>1899</v>
      </c>
      <c r="K6" s="15">
        <v>2528</v>
      </c>
    </row>
    <row r="7" spans="1:11" x14ac:dyDescent="0.2">
      <c r="A7" s="2" t="s">
        <v>13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</row>
    <row r="8" spans="1:11" x14ac:dyDescent="0.2">
      <c r="A8" s="2" t="s">
        <v>14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</row>
    <row r="9" spans="1:11" x14ac:dyDescent="0.2">
      <c r="A9" s="3" t="s">
        <v>15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2">
      <c r="A10" s="4" t="s">
        <v>16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</row>
    <row r="11" spans="1:11" x14ac:dyDescent="0.2">
      <c r="A11" s="4" t="s">
        <v>17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14" t="s">
        <v>18</v>
      </c>
      <c r="B12" s="13">
        <v>-3104</v>
      </c>
      <c r="C12" s="13">
        <v>-3041</v>
      </c>
      <c r="D12" s="13">
        <v>-1957</v>
      </c>
      <c r="E12" s="13">
        <v>-1567</v>
      </c>
      <c r="F12" s="13">
        <v>-1207</v>
      </c>
      <c r="G12" s="13">
        <v>-1173</v>
      </c>
      <c r="H12" s="13">
        <v>-1547</v>
      </c>
      <c r="I12" s="13">
        <v>-1536</v>
      </c>
      <c r="J12" s="13">
        <v>-1916</v>
      </c>
      <c r="K12" s="13">
        <v>-2286</v>
      </c>
    </row>
    <row r="13" spans="1:11" x14ac:dyDescent="0.2">
      <c r="A13" s="2" t="s">
        <v>19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</row>
    <row r="14" spans="1:11" x14ac:dyDescent="0.2">
      <c r="A14" s="2" t="s">
        <v>20</v>
      </c>
      <c r="B14" s="15">
        <v>-153</v>
      </c>
      <c r="C14" s="15">
        <v>-153</v>
      </c>
      <c r="D14" s="15">
        <v>-126</v>
      </c>
      <c r="E14" s="15">
        <v>-101</v>
      </c>
      <c r="F14" s="15">
        <v>-75</v>
      </c>
      <c r="G14" s="15">
        <v>-31</v>
      </c>
      <c r="H14" s="15">
        <v>-29</v>
      </c>
      <c r="I14" s="15">
        <v>-80</v>
      </c>
      <c r="J14" s="15">
        <v>-34</v>
      </c>
      <c r="K14" s="15">
        <v>-39</v>
      </c>
    </row>
    <row r="15" spans="1:11" x14ac:dyDescent="0.2">
      <c r="A15" s="2" t="s">
        <v>21</v>
      </c>
      <c r="B15" s="15">
        <v>-258</v>
      </c>
      <c r="C15" s="15">
        <v>-201</v>
      </c>
      <c r="D15" s="15">
        <v>-182</v>
      </c>
      <c r="E15" s="15">
        <v>-42</v>
      </c>
      <c r="F15" s="15">
        <v>-38</v>
      </c>
      <c r="G15" s="15">
        <v>-23</v>
      </c>
      <c r="H15" s="15">
        <v>-69</v>
      </c>
      <c r="I15" s="15">
        <v>-75</v>
      </c>
      <c r="J15" s="15">
        <v>-64</v>
      </c>
      <c r="K15" s="15">
        <v>-49</v>
      </c>
    </row>
    <row r="16" spans="1:11" x14ac:dyDescent="0.2">
      <c r="A16" s="2" t="s">
        <v>22</v>
      </c>
      <c r="B16" s="15">
        <v>1</v>
      </c>
      <c r="C16" s="15">
        <v>4</v>
      </c>
      <c r="D16" s="15">
        <v>5</v>
      </c>
      <c r="E16" s="15">
        <v>9</v>
      </c>
      <c r="F16" s="15">
        <v>13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</row>
    <row r="17" spans="1:11" x14ac:dyDescent="0.2">
      <c r="A17" s="2" t="s">
        <v>23</v>
      </c>
      <c r="B17" s="15">
        <v>-83</v>
      </c>
      <c r="C17" s="15">
        <v>36</v>
      </c>
      <c r="D17" s="15">
        <v>18</v>
      </c>
      <c r="E17" s="15">
        <v>-28</v>
      </c>
      <c r="F17" s="15">
        <v>-129</v>
      </c>
      <c r="G17" s="15">
        <v>7</v>
      </c>
      <c r="H17" s="15">
        <v>27</v>
      </c>
      <c r="I17" s="15">
        <v>-4</v>
      </c>
      <c r="J17" s="15">
        <v>0</v>
      </c>
      <c r="K17" s="15">
        <v>-3</v>
      </c>
    </row>
    <row r="18" spans="1:11" x14ac:dyDescent="0.2">
      <c r="A18" s="11" t="s">
        <v>24</v>
      </c>
      <c r="B18" s="12">
        <f t="shared" ref="B18:K18" si="0">B6+B7+B8+B12+B13+B14+B15+B16+B17</f>
        <v>883</v>
      </c>
      <c r="C18" s="12">
        <f t="shared" si="0"/>
        <v>773</v>
      </c>
      <c r="D18" s="12">
        <f t="shared" si="0"/>
        <v>674</v>
      </c>
      <c r="E18" s="12">
        <f t="shared" si="0"/>
        <v>184</v>
      </c>
      <c r="F18" s="12">
        <f t="shared" si="0"/>
        <v>-51</v>
      </c>
      <c r="G18" s="12">
        <f t="shared" si="0"/>
        <v>241</v>
      </c>
      <c r="H18" s="12">
        <f t="shared" si="0"/>
        <v>66</v>
      </c>
      <c r="I18" s="12">
        <f t="shared" si="0"/>
        <v>154</v>
      </c>
      <c r="J18" s="12">
        <f t="shared" si="0"/>
        <v>-115</v>
      </c>
      <c r="K18" s="12">
        <f t="shared" si="0"/>
        <v>151</v>
      </c>
    </row>
    <row r="20" spans="1:11" ht="19.5" customHeight="1" x14ac:dyDescent="0.2">
      <c r="A20" s="10" t="s">
        <v>25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2" t="s">
        <v>26</v>
      </c>
      <c r="B21" s="15">
        <v>-745</v>
      </c>
      <c r="C21" s="15">
        <v>-164</v>
      </c>
      <c r="D21" s="15">
        <v>-538</v>
      </c>
      <c r="E21" s="15">
        <v>-335</v>
      </c>
      <c r="F21" s="15">
        <v>-995</v>
      </c>
      <c r="G21" s="15">
        <v>-28</v>
      </c>
      <c r="H21" s="15">
        <v>-137</v>
      </c>
      <c r="I21" s="15">
        <v>-13</v>
      </c>
      <c r="J21" s="15">
        <v>-11</v>
      </c>
      <c r="K21" s="15">
        <v>-154</v>
      </c>
    </row>
    <row r="22" spans="1:11" x14ac:dyDescent="0.2">
      <c r="A22" s="2" t="s">
        <v>27</v>
      </c>
      <c r="B22" s="15">
        <v>7</v>
      </c>
      <c r="C22" s="15">
        <v>1</v>
      </c>
      <c r="D22" s="15">
        <v>9</v>
      </c>
      <c r="E22" s="15">
        <v>1</v>
      </c>
      <c r="F22" s="15">
        <v>1</v>
      </c>
      <c r="G22" s="15">
        <v>0</v>
      </c>
      <c r="H22" s="15">
        <v>1</v>
      </c>
      <c r="I22" s="15">
        <v>1</v>
      </c>
      <c r="J22" s="15">
        <v>0</v>
      </c>
      <c r="K22" s="15">
        <v>1</v>
      </c>
    </row>
    <row r="23" spans="1:11" x14ac:dyDescent="0.2">
      <c r="A23" s="2" t="s">
        <v>28</v>
      </c>
      <c r="B23" s="15">
        <v>-1</v>
      </c>
      <c r="C23" s="15">
        <v>-1</v>
      </c>
      <c r="D23" s="15">
        <v>-1</v>
      </c>
      <c r="E23" s="15">
        <v>-7</v>
      </c>
      <c r="F23" s="15">
        <v>-1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</row>
    <row r="24" spans="1:11" x14ac:dyDescent="0.2">
      <c r="A24" s="2" t="s">
        <v>29</v>
      </c>
      <c r="B24" s="15">
        <v>-22</v>
      </c>
      <c r="C24" s="15">
        <v>-16</v>
      </c>
      <c r="D24" s="15">
        <v>-409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</row>
    <row r="25" spans="1:11" x14ac:dyDescent="0.2">
      <c r="A25" s="2" t="s">
        <v>30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</row>
    <row r="26" spans="1:11" x14ac:dyDescent="0.2">
      <c r="A26" s="2" t="s">
        <v>31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-9</v>
      </c>
      <c r="H26" s="15">
        <v>-179</v>
      </c>
      <c r="I26" s="15">
        <v>-33</v>
      </c>
      <c r="J26" s="15">
        <v>513</v>
      </c>
      <c r="K26" s="15">
        <v>-1</v>
      </c>
    </row>
    <row r="27" spans="1:11" x14ac:dyDescent="0.2">
      <c r="A27" s="2" t="s">
        <v>32</v>
      </c>
      <c r="B27" s="15">
        <v>-399</v>
      </c>
      <c r="C27" s="15">
        <v>-43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</row>
    <row r="28" spans="1:11" x14ac:dyDescent="0.2">
      <c r="A28" s="2" t="s">
        <v>33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</row>
    <row r="29" spans="1:11" x14ac:dyDescent="0.2">
      <c r="A29" s="2" t="s">
        <v>34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</row>
    <row r="30" spans="1:11" x14ac:dyDescent="0.2">
      <c r="A30" s="2" t="s">
        <v>35</v>
      </c>
      <c r="B30" s="15">
        <v>106</v>
      </c>
      <c r="C30" s="15">
        <v>120</v>
      </c>
      <c r="D30" s="15">
        <v>147</v>
      </c>
      <c r="E30" s="15">
        <v>114</v>
      </c>
      <c r="F30" s="15">
        <v>34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</row>
    <row r="31" spans="1:11" x14ac:dyDescent="0.2">
      <c r="A31" s="2" t="s">
        <v>36</v>
      </c>
      <c r="B31" s="15">
        <v>-10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</row>
    <row r="32" spans="1:11" x14ac:dyDescent="0.2">
      <c r="A32" s="2" t="s">
        <v>37</v>
      </c>
      <c r="B32" s="15">
        <v>-202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</row>
    <row r="33" spans="1:11" x14ac:dyDescent="0.2">
      <c r="A33" s="2" t="s">
        <v>38</v>
      </c>
      <c r="B33" s="15">
        <v>-209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</row>
    <row r="34" spans="1:11" x14ac:dyDescent="0.2">
      <c r="A34" s="2" t="s">
        <v>39</v>
      </c>
      <c r="B34" s="15">
        <v>-4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</row>
    <row r="35" spans="1:11" x14ac:dyDescent="0.2">
      <c r="A35" s="2" t="s">
        <v>40</v>
      </c>
      <c r="B35" s="15">
        <v>946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</row>
    <row r="36" spans="1:11" x14ac:dyDescent="0.2">
      <c r="A36" s="2" t="s">
        <v>41</v>
      </c>
      <c r="B36" s="15">
        <v>-30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</row>
    <row r="37" spans="1:11" x14ac:dyDescent="0.2">
      <c r="A37" s="2" t="s">
        <v>42</v>
      </c>
      <c r="B37" s="15">
        <v>0</v>
      </c>
      <c r="C37" s="15">
        <v>0</v>
      </c>
      <c r="D37" s="15">
        <v>0</v>
      </c>
      <c r="E37" s="15">
        <v>0</v>
      </c>
      <c r="F37" s="15">
        <v>-72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</row>
    <row r="38" spans="1:11" x14ac:dyDescent="0.2">
      <c r="A38" s="2" t="s">
        <v>43</v>
      </c>
      <c r="B38" s="15">
        <v>0</v>
      </c>
      <c r="C38" s="15">
        <v>0</v>
      </c>
      <c r="D38" s="15">
        <v>0</v>
      </c>
      <c r="E38" s="15">
        <v>-2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</row>
    <row r="39" spans="1:11" x14ac:dyDescent="0.2">
      <c r="A39" s="2" t="s">
        <v>44</v>
      </c>
      <c r="B39" s="15">
        <v>0</v>
      </c>
      <c r="C39" s="15">
        <v>0</v>
      </c>
      <c r="D39" s="15">
        <v>0</v>
      </c>
      <c r="E39" s="15">
        <v>-1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</row>
    <row r="40" spans="1:11" x14ac:dyDescent="0.2">
      <c r="A40" s="2" t="s">
        <v>45</v>
      </c>
      <c r="B40" s="15">
        <v>-132</v>
      </c>
      <c r="C40" s="15">
        <v>47</v>
      </c>
      <c r="D40" s="15">
        <v>-32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</row>
    <row r="41" spans="1:11" x14ac:dyDescent="0.2">
      <c r="A41" s="2" t="s">
        <v>46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</row>
    <row r="42" spans="1:11" x14ac:dyDescent="0.2">
      <c r="A42" s="2" t="s">
        <v>47</v>
      </c>
      <c r="B42" s="15">
        <v>0</v>
      </c>
      <c r="C42" s="15">
        <v>0</v>
      </c>
      <c r="D42" s="15">
        <v>0</v>
      </c>
      <c r="E42" s="15">
        <v>5</v>
      </c>
      <c r="F42" s="15">
        <v>-2</v>
      </c>
      <c r="G42" s="15">
        <v>-12</v>
      </c>
      <c r="H42" s="15">
        <v>-20</v>
      </c>
      <c r="I42" s="15">
        <v>-35</v>
      </c>
      <c r="J42" s="15">
        <v>50</v>
      </c>
      <c r="K42" s="15">
        <v>-58</v>
      </c>
    </row>
    <row r="43" spans="1:11" x14ac:dyDescent="0.2">
      <c r="A43" s="11" t="s">
        <v>48</v>
      </c>
      <c r="B43" s="12">
        <f t="shared" ref="B43:K43" si="1">B21+B22+B23+B24+B25+B26+B27+B28+B29+B30+B31+B32+B33+B34+B35+B36+B37+B38+B39+B40+B41+B42</f>
        <v>-695</v>
      </c>
      <c r="C43" s="12">
        <f t="shared" si="1"/>
        <v>-56</v>
      </c>
      <c r="D43" s="12">
        <f t="shared" si="1"/>
        <v>-824</v>
      </c>
      <c r="E43" s="12">
        <f t="shared" si="1"/>
        <v>-225</v>
      </c>
      <c r="F43" s="12">
        <f t="shared" si="1"/>
        <v>-1035</v>
      </c>
      <c r="G43" s="12">
        <f t="shared" si="1"/>
        <v>-49</v>
      </c>
      <c r="H43" s="12">
        <f t="shared" si="1"/>
        <v>-335</v>
      </c>
      <c r="I43" s="12">
        <f t="shared" si="1"/>
        <v>-80</v>
      </c>
      <c r="J43" s="12">
        <f t="shared" si="1"/>
        <v>552</v>
      </c>
      <c r="K43" s="12">
        <f t="shared" si="1"/>
        <v>-212</v>
      </c>
    </row>
    <row r="45" spans="1:11" ht="19.5" customHeight="1" x14ac:dyDescent="0.2">
      <c r="A45" s="10" t="s">
        <v>49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2">
      <c r="A46" s="2" t="s">
        <v>50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</row>
    <row r="47" spans="1:11" x14ac:dyDescent="0.2">
      <c r="A47" s="2" t="s">
        <v>51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</row>
    <row r="48" spans="1:11" x14ac:dyDescent="0.2">
      <c r="A48" s="2" t="s">
        <v>52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21</v>
      </c>
      <c r="H48" s="15">
        <v>19</v>
      </c>
      <c r="I48" s="15">
        <v>0</v>
      </c>
      <c r="J48" s="15">
        <v>0</v>
      </c>
      <c r="K48" s="15">
        <v>0</v>
      </c>
    </row>
    <row r="49" spans="1:11" x14ac:dyDescent="0.2">
      <c r="A49" s="2" t="s">
        <v>53</v>
      </c>
      <c r="B49" s="15">
        <v>-251</v>
      </c>
      <c r="C49" s="15">
        <v>-162</v>
      </c>
      <c r="D49" s="15">
        <v>-69</v>
      </c>
      <c r="E49" s="15">
        <v>-31</v>
      </c>
      <c r="F49" s="15">
        <v>-28</v>
      </c>
      <c r="G49" s="15">
        <v>-27</v>
      </c>
      <c r="H49" s="15">
        <v>-33</v>
      </c>
      <c r="I49" s="15">
        <v>-47</v>
      </c>
      <c r="J49" s="15">
        <v>-13</v>
      </c>
      <c r="K49" s="15">
        <v>-7</v>
      </c>
    </row>
    <row r="50" spans="1:11" x14ac:dyDescent="0.2">
      <c r="A50" s="2" t="s">
        <v>54</v>
      </c>
      <c r="B50" s="15">
        <v>-59</v>
      </c>
      <c r="C50" s="15">
        <v>-20</v>
      </c>
      <c r="D50" s="15">
        <v>-16</v>
      </c>
      <c r="E50" s="15">
        <v>-13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</row>
    <row r="51" spans="1:11" x14ac:dyDescent="0.2">
      <c r="A51" s="2" t="s">
        <v>55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34</v>
      </c>
      <c r="J51" s="15">
        <v>0</v>
      </c>
      <c r="K51" s="15">
        <v>0</v>
      </c>
    </row>
    <row r="52" spans="1:11" x14ac:dyDescent="0.2">
      <c r="A52" s="2" t="s">
        <v>56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</row>
    <row r="53" spans="1:11" x14ac:dyDescent="0.2">
      <c r="A53" s="2" t="s">
        <v>57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</row>
    <row r="54" spans="1:11" x14ac:dyDescent="0.2">
      <c r="A54" s="2" t="s">
        <v>58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</row>
    <row r="55" spans="1:11" x14ac:dyDescent="0.2">
      <c r="A55" s="2" t="s">
        <v>59</v>
      </c>
      <c r="B55" s="15">
        <v>54</v>
      </c>
      <c r="C55" s="15">
        <v>29</v>
      </c>
      <c r="D55" s="15">
        <v>-77</v>
      </c>
      <c r="E55" s="15">
        <v>0</v>
      </c>
      <c r="F55" s="15">
        <v>14</v>
      </c>
      <c r="G55" s="15">
        <v>241</v>
      </c>
      <c r="H55" s="15">
        <v>326</v>
      </c>
      <c r="I55" s="15">
        <v>-696</v>
      </c>
      <c r="J55" s="15">
        <v>1</v>
      </c>
      <c r="K55" s="15">
        <v>9</v>
      </c>
    </row>
    <row r="56" spans="1:11" x14ac:dyDescent="0.2">
      <c r="A56" s="2" t="s">
        <v>60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</row>
    <row r="57" spans="1:11" x14ac:dyDescent="0.2">
      <c r="A57" s="2" t="s">
        <v>61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</row>
    <row r="58" spans="1:11" x14ac:dyDescent="0.2">
      <c r="A58" s="2" t="s">
        <v>62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5</v>
      </c>
      <c r="H58" s="15">
        <v>11</v>
      </c>
      <c r="I58" s="15">
        <v>7</v>
      </c>
      <c r="J58" s="15">
        <v>-12</v>
      </c>
      <c r="K58" s="15">
        <v>-2</v>
      </c>
    </row>
    <row r="59" spans="1:11" x14ac:dyDescent="0.2">
      <c r="A59" s="2" t="s">
        <v>63</v>
      </c>
      <c r="B59" s="15">
        <v>226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</row>
    <row r="60" spans="1:11" x14ac:dyDescent="0.2">
      <c r="A60" s="2" t="s">
        <v>64</v>
      </c>
      <c r="B60" s="15">
        <v>-7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</row>
    <row r="61" spans="1:11" x14ac:dyDescent="0.2">
      <c r="A61" s="2" t="s">
        <v>65</v>
      </c>
      <c r="B61" s="15">
        <v>123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</row>
    <row r="62" spans="1:11" x14ac:dyDescent="0.2">
      <c r="A62" s="2" t="s">
        <v>66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</row>
    <row r="63" spans="1:11" x14ac:dyDescent="0.2">
      <c r="A63" s="2" t="s">
        <v>67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</row>
    <row r="64" spans="1:11" x14ac:dyDescent="0.2">
      <c r="A64" s="2" t="s">
        <v>68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</row>
    <row r="65" spans="1:11" x14ac:dyDescent="0.2">
      <c r="A65" s="2" t="s">
        <v>69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</row>
    <row r="66" spans="1:11" x14ac:dyDescent="0.2">
      <c r="A66" s="2" t="s">
        <v>70</v>
      </c>
      <c r="B66" s="15">
        <v>2089</v>
      </c>
      <c r="C66" s="15">
        <v>65</v>
      </c>
      <c r="D66" s="15">
        <v>974</v>
      </c>
      <c r="E66" s="15">
        <v>28</v>
      </c>
      <c r="F66" s="15">
        <v>1120</v>
      </c>
      <c r="G66" s="15">
        <v>259</v>
      </c>
      <c r="H66" s="15">
        <v>734</v>
      </c>
      <c r="I66" s="15">
        <v>579</v>
      </c>
      <c r="J66" s="15">
        <v>41</v>
      </c>
      <c r="K66" s="15">
        <v>173</v>
      </c>
    </row>
    <row r="67" spans="1:11" x14ac:dyDescent="0.2">
      <c r="A67" s="2" t="s">
        <v>71</v>
      </c>
      <c r="B67" s="15">
        <v>-1454</v>
      </c>
      <c r="C67" s="15">
        <v>-426</v>
      </c>
      <c r="D67" s="15">
        <v>-594</v>
      </c>
      <c r="E67" s="15">
        <v>0</v>
      </c>
      <c r="F67" s="15">
        <v>0</v>
      </c>
      <c r="G67" s="15">
        <v>-453</v>
      </c>
      <c r="H67" s="15">
        <v>-762</v>
      </c>
      <c r="I67" s="15">
        <v>-114</v>
      </c>
      <c r="J67" s="15">
        <v>-453</v>
      </c>
      <c r="K67" s="15">
        <v>-233</v>
      </c>
    </row>
    <row r="68" spans="1:11" x14ac:dyDescent="0.2">
      <c r="A68" s="2" t="s">
        <v>72</v>
      </c>
      <c r="B68" s="15">
        <v>-41</v>
      </c>
      <c r="C68" s="15">
        <v>-44</v>
      </c>
      <c r="D68" s="15">
        <v>-4</v>
      </c>
      <c r="E68" s="15">
        <v>5</v>
      </c>
      <c r="F68" s="15">
        <v>-21</v>
      </c>
      <c r="G68" s="15">
        <v>2</v>
      </c>
      <c r="H68" s="15">
        <v>-3</v>
      </c>
      <c r="I68" s="15">
        <v>-2</v>
      </c>
      <c r="J68" s="15">
        <v>-2</v>
      </c>
      <c r="K68" s="15">
        <v>-1</v>
      </c>
    </row>
    <row r="69" spans="1:11" x14ac:dyDescent="0.2">
      <c r="A69" s="2" t="s">
        <v>73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</row>
    <row r="70" spans="1:11" x14ac:dyDescent="0.2">
      <c r="A70" s="2" t="s">
        <v>74</v>
      </c>
      <c r="B70" s="15">
        <v>-14</v>
      </c>
      <c r="C70" s="15">
        <v>0</v>
      </c>
      <c r="D70" s="15">
        <v>9</v>
      </c>
      <c r="E70" s="15">
        <v>-56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</row>
    <row r="71" spans="1:11" x14ac:dyDescent="0.2">
      <c r="A71" s="2" t="s">
        <v>75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</row>
    <row r="72" spans="1:11" x14ac:dyDescent="0.2">
      <c r="A72" s="11" t="s">
        <v>76</v>
      </c>
      <c r="B72" s="12">
        <f t="shared" ref="B72:K72" si="2">B46+B47+B48+B49+B50+B51+B52+B53+B54+B55+B56+B57+B58+B59+B60+B61+B62+B63+B64+B65+B66+B67+B68+B69+B70+B71</f>
        <v>666</v>
      </c>
      <c r="C72" s="12">
        <f t="shared" si="2"/>
        <v>-558</v>
      </c>
      <c r="D72" s="12">
        <f t="shared" si="2"/>
        <v>223</v>
      </c>
      <c r="E72" s="12">
        <f t="shared" si="2"/>
        <v>-67</v>
      </c>
      <c r="F72" s="12">
        <f t="shared" si="2"/>
        <v>1085</v>
      </c>
      <c r="G72" s="12">
        <f t="shared" si="2"/>
        <v>48</v>
      </c>
      <c r="H72" s="12">
        <f t="shared" si="2"/>
        <v>292</v>
      </c>
      <c r="I72" s="12">
        <f t="shared" si="2"/>
        <v>-239</v>
      </c>
      <c r="J72" s="12">
        <f t="shared" si="2"/>
        <v>-438</v>
      </c>
      <c r="K72" s="12">
        <f t="shared" si="2"/>
        <v>-61</v>
      </c>
    </row>
    <row r="74" spans="1:11" ht="19.5" customHeight="1" x14ac:dyDescent="0.2">
      <c r="A74" s="10" t="s">
        <v>77</v>
      </c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2">
      <c r="A75" s="2" t="s">
        <v>78</v>
      </c>
      <c r="B75" s="15">
        <v>-9</v>
      </c>
      <c r="C75" s="15">
        <v>-7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</row>
    <row r="76" spans="1:11" x14ac:dyDescent="0.2">
      <c r="A76" s="11" t="s">
        <v>79</v>
      </c>
      <c r="B76" s="13">
        <f t="shared" ref="B76:K76" si="3">B18+B43+B72+B75</f>
        <v>845</v>
      </c>
      <c r="C76" s="13">
        <f t="shared" si="3"/>
        <v>152</v>
      </c>
      <c r="D76" s="13">
        <f t="shared" si="3"/>
        <v>73</v>
      </c>
      <c r="E76" s="13">
        <f t="shared" si="3"/>
        <v>-108</v>
      </c>
      <c r="F76" s="13">
        <f t="shared" si="3"/>
        <v>-1</v>
      </c>
      <c r="G76" s="13">
        <f t="shared" si="3"/>
        <v>240</v>
      </c>
      <c r="H76" s="13">
        <f t="shared" si="3"/>
        <v>23</v>
      </c>
      <c r="I76" s="13">
        <f t="shared" si="3"/>
        <v>-165</v>
      </c>
      <c r="J76" s="13">
        <f t="shared" si="3"/>
        <v>-1</v>
      </c>
      <c r="K76" s="13">
        <f t="shared" si="3"/>
        <v>-122</v>
      </c>
    </row>
    <row r="77" spans="1:11" x14ac:dyDescent="0.2">
      <c r="A77" s="2" t="s">
        <v>80</v>
      </c>
      <c r="B77" s="15">
        <v>742</v>
      </c>
      <c r="C77" s="15">
        <v>563</v>
      </c>
      <c r="D77" s="15">
        <v>465</v>
      </c>
      <c r="E77" s="15">
        <v>578</v>
      </c>
      <c r="F77" s="15">
        <v>554</v>
      </c>
      <c r="G77" s="15">
        <v>308</v>
      </c>
      <c r="H77" s="15">
        <v>279</v>
      </c>
      <c r="I77" s="15">
        <v>186</v>
      </c>
      <c r="J77" s="15">
        <v>176</v>
      </c>
      <c r="K77" s="15">
        <v>297</v>
      </c>
    </row>
    <row r="78" spans="1:11" x14ac:dyDescent="0.2">
      <c r="A78" s="2" t="s">
        <v>81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</row>
    <row r="79" spans="1:11" x14ac:dyDescent="0.2">
      <c r="A79" s="2" t="s">
        <v>82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</row>
    <row r="80" spans="1:11" x14ac:dyDescent="0.2">
      <c r="A80" s="2" t="s">
        <v>83</v>
      </c>
      <c r="B80" s="15">
        <v>-67</v>
      </c>
      <c r="C80" s="15">
        <v>0</v>
      </c>
      <c r="D80" s="15">
        <v>0</v>
      </c>
      <c r="E80" s="15">
        <v>0</v>
      </c>
      <c r="F80" s="15">
        <v>0</v>
      </c>
      <c r="G80" s="15">
        <v>1</v>
      </c>
      <c r="H80" s="15">
        <v>0</v>
      </c>
      <c r="I80" s="15">
        <v>0</v>
      </c>
      <c r="J80" s="15">
        <v>0</v>
      </c>
      <c r="K80" s="15">
        <v>267</v>
      </c>
    </row>
    <row r="81" spans="1:11" x14ac:dyDescent="0.2">
      <c r="A81" s="2" t="s">
        <v>75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</row>
    <row r="82" spans="1:11" x14ac:dyDescent="0.2">
      <c r="A82" s="11" t="s">
        <v>84</v>
      </c>
      <c r="B82" s="12">
        <f t="shared" ref="B82:K82" si="4">B77+B76+B78+B79+B80+B81</f>
        <v>1520</v>
      </c>
      <c r="C82" s="12">
        <f t="shared" si="4"/>
        <v>715</v>
      </c>
      <c r="D82" s="12">
        <f t="shared" si="4"/>
        <v>538</v>
      </c>
      <c r="E82" s="12">
        <f t="shared" si="4"/>
        <v>470</v>
      </c>
      <c r="F82" s="12">
        <f t="shared" si="4"/>
        <v>553</v>
      </c>
      <c r="G82" s="12">
        <f t="shared" si="4"/>
        <v>549</v>
      </c>
      <c r="H82" s="12">
        <f t="shared" si="4"/>
        <v>302</v>
      </c>
      <c r="I82" s="12">
        <f t="shared" si="4"/>
        <v>21</v>
      </c>
      <c r="J82" s="12">
        <f t="shared" si="4"/>
        <v>175</v>
      </c>
      <c r="K82" s="12">
        <f t="shared" si="4"/>
        <v>442</v>
      </c>
    </row>
    <row r="85" spans="1:11" ht="30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</sheetData>
  <mergeCells count="3">
    <mergeCell ref="A1:K1"/>
    <mergeCell ref="A2:K2"/>
    <mergeCell ref="A85:K8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Arus 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Melvin</cp:lastModifiedBy>
  <cp:revision>0</cp:revision>
  <dcterms:created xsi:type="dcterms:W3CDTF">2026-08-01T07:53:19Z</dcterms:created>
  <dcterms:modified xsi:type="dcterms:W3CDTF">2026-08-01T08:03:08Z</dcterms:modified>
  <dc:language>en-US</dc:language>
</cp:coreProperties>
</file>