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vinjusuf/Downloads/portfolio-project/public/files/PT Rukun Raharja Tbk (RAJA)/"/>
    </mc:Choice>
  </mc:AlternateContent>
  <xr:revisionPtr revIDLastSave="0" documentId="8_{206CE0D8-7D28-E345-9AF1-74760A87FF75}" xr6:coauthVersionLast="47" xr6:coauthVersionMax="47" xr10:uidLastSave="{00000000-0000-0000-0000-000000000000}"/>
  <bookViews>
    <workbookView xWindow="3480" yWindow="4160" windowWidth="25240" windowHeight="13840" xr2:uid="{3D13C544-D7A9-FB42-9B7A-510B654661E3}"/>
  </bookViews>
  <sheets>
    <sheet name="Sheet1" sheetId="1" r:id="rId1"/>
  </sheets>
  <externalReferences>
    <externalReference r:id="rId2"/>
  </externalReferenc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B63" i="1"/>
  <c r="B64" i="1" s="1"/>
  <c r="B66" i="1" s="1"/>
  <c r="B67" i="1" s="1"/>
  <c r="B68" i="1" s="1"/>
  <c r="B5" i="1" s="1"/>
  <c r="B36" i="1"/>
  <c r="B35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B26" i="1" s="1"/>
  <c r="F8" i="1"/>
  <c r="E8" i="1"/>
  <c r="D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C8" i="1" s="1"/>
  <c r="B21" i="1" l="1"/>
  <c r="B8" i="1"/>
  <c r="B25" i="1" s="1"/>
  <c r="C25" i="1" s="1"/>
  <c r="D25" i="1" s="1"/>
  <c r="E25" i="1" s="1"/>
  <c r="F25" i="1" s="1"/>
  <c r="C35" i="1"/>
  <c r="D35" i="1" l="1"/>
  <c r="D26" i="1"/>
  <c r="C26" i="1"/>
  <c r="B43" i="1"/>
  <c r="B23" i="1"/>
  <c r="B34" i="1"/>
  <c r="B22" i="1"/>
  <c r="B24" i="1" s="1"/>
  <c r="B27" i="1" s="1"/>
  <c r="B42" i="1"/>
  <c r="C21" i="1"/>
  <c r="B44" i="1" l="1"/>
  <c r="B45" i="1" s="1"/>
  <c r="B46" i="1"/>
  <c r="B28" i="1"/>
  <c r="B29" i="1" s="1"/>
  <c r="B30" i="1" s="1"/>
  <c r="C42" i="1"/>
  <c r="C44" i="1" s="1"/>
  <c r="C45" i="1" s="1"/>
  <c r="C34" i="1"/>
  <c r="C22" i="1"/>
  <c r="C24" i="1" s="1"/>
  <c r="C27" i="1" s="1"/>
  <c r="D21" i="1"/>
  <c r="C43" i="1"/>
  <c r="C23" i="1"/>
  <c r="E35" i="1"/>
  <c r="E26" i="1"/>
  <c r="B37" i="1" l="1"/>
  <c r="B31" i="1"/>
  <c r="B50" i="1"/>
  <c r="C36" i="1"/>
  <c r="C28" i="1"/>
  <c r="C29" i="1"/>
  <c r="C30" i="1" s="1"/>
  <c r="F35" i="1"/>
  <c r="E21" i="1"/>
  <c r="D43" i="1"/>
  <c r="D34" i="1"/>
  <c r="D42" i="1"/>
  <c r="D44" i="1" s="1"/>
  <c r="D45" i="1" s="1"/>
  <c r="D22" i="1"/>
  <c r="D23" i="1"/>
  <c r="C46" i="1"/>
  <c r="B47" i="1"/>
  <c r="C47" i="1" l="1"/>
  <c r="D24" i="1"/>
  <c r="D27" i="1" s="1"/>
  <c r="D36" i="1"/>
  <c r="D46" i="1" s="1"/>
  <c r="C50" i="1"/>
  <c r="C51" i="1"/>
  <c r="C31" i="1"/>
  <c r="E43" i="1"/>
  <c r="E42" i="1"/>
  <c r="E44" i="1" s="1"/>
  <c r="E45" i="1" s="1"/>
  <c r="E34" i="1"/>
  <c r="E22" i="1"/>
  <c r="F21" i="1"/>
  <c r="E23" i="1"/>
  <c r="F26" i="1"/>
  <c r="B55" i="1"/>
  <c r="B52" i="1"/>
  <c r="B38" i="1"/>
  <c r="B39" i="1" s="1"/>
  <c r="C37" i="1"/>
  <c r="B53" i="1"/>
  <c r="B54" i="1"/>
  <c r="B51" i="1"/>
  <c r="D47" i="1" l="1"/>
  <c r="D28" i="1"/>
  <c r="D29" i="1"/>
  <c r="D30" i="1" s="1"/>
  <c r="C54" i="1"/>
  <c r="F43" i="1"/>
  <c r="F42" i="1"/>
  <c r="F44" i="1" s="1"/>
  <c r="F45" i="1" s="1"/>
  <c r="F34" i="1"/>
  <c r="F22" i="1"/>
  <c r="F24" i="1" s="1"/>
  <c r="F27" i="1" s="1"/>
  <c r="F23" i="1"/>
  <c r="E24" i="1"/>
  <c r="E27" i="1" s="1"/>
  <c r="C38" i="1"/>
  <c r="C39" i="1" s="1"/>
  <c r="D37" i="1"/>
  <c r="C55" i="1"/>
  <c r="C52" i="1"/>
  <c r="C53" i="1"/>
  <c r="F28" i="1" l="1"/>
  <c r="F29" i="1"/>
  <c r="F30" i="1" s="1"/>
  <c r="D38" i="1"/>
  <c r="D39" i="1" s="1"/>
  <c r="D55" i="1"/>
  <c r="D52" i="1"/>
  <c r="D53" i="1"/>
  <c r="D50" i="1"/>
  <c r="E36" i="1"/>
  <c r="E46" i="1" s="1"/>
  <c r="D31" i="1"/>
  <c r="D51" i="1"/>
  <c r="D54" i="1"/>
  <c r="E28" i="1"/>
  <c r="E29" i="1" s="1"/>
  <c r="E30" i="1" s="1"/>
  <c r="F36" i="1" l="1"/>
  <c r="E50" i="1"/>
  <c r="E31" i="1"/>
  <c r="E37" i="1"/>
  <c r="F50" i="1"/>
  <c r="F31" i="1"/>
  <c r="F46" i="1"/>
  <c r="F47" i="1" s="1"/>
  <c r="E47" i="1"/>
  <c r="E54" i="1" s="1"/>
  <c r="E55" i="1" l="1"/>
  <c r="F37" i="1"/>
  <c r="E38" i="1"/>
  <c r="E39" i="1" s="1"/>
  <c r="E52" i="1"/>
  <c r="E53" i="1"/>
  <c r="E51" i="1"/>
  <c r="F38" i="1" l="1"/>
  <c r="F39" i="1" s="1"/>
  <c r="F55" i="1"/>
  <c r="F52" i="1"/>
  <c r="F53" i="1"/>
  <c r="F51" i="1"/>
  <c r="F54" i="1"/>
</calcChain>
</file>

<file path=xl/sharedStrings.xml><?xml version="1.0" encoding="utf-8"?>
<sst xmlns="http://schemas.openxmlformats.org/spreadsheetml/2006/main" count="63" uniqueCount="63">
  <si>
    <t>FORECAST 5 TAHUN - PT Rukun Raharja Tbk (RAJA)</t>
  </si>
  <si>
    <t>Keterangan</t>
  </si>
  <si>
    <t>12M 2026F</t>
  </si>
  <si>
    <t>12M 2027F</t>
  </si>
  <si>
    <t>12M 2028F</t>
  </si>
  <si>
    <t>12M 2029F</t>
  </si>
  <si>
    <t>12M 2030F</t>
  </si>
  <si>
    <t>Pertumbuhan Pendapatan (%)</t>
  </si>
  <si>
    <t>Margin Laba Kotor (%)</t>
  </si>
  <si>
    <t>Beban Usaha (% Pendapatan)</t>
  </si>
  <si>
    <t>Pertumbuhan Bagian Atas Hasil Bersih Entitas Asosiasi (%)</t>
  </si>
  <si>
    <t>Tingkat Bunga Efektif Atas Utang (%)</t>
  </si>
  <si>
    <t>Tarif Pajak Efektif (%)</t>
  </si>
  <si>
    <t>Persentase Laba Bersih Milik Pemilik Entitas Induk (%)</t>
  </si>
  <si>
    <t>Rasio Pembayaran Dividen (% Dari Laba Bersih Pemilik Tahun Sebelumnya)</t>
  </si>
  <si>
    <t>Belanja Modal / Capex (% Pendapatan)</t>
  </si>
  <si>
    <t>Arus Kas Operasi / OCF (% Pendapatan)</t>
  </si>
  <si>
    <t>Pertumbuhan Total Debt (%)</t>
  </si>
  <si>
    <t>Asumsi Perputaran Aset / Asset Turnover (x)</t>
  </si>
  <si>
    <t>Proporsi Kepentingan Non Pengendali (% Dari Total Ekuitas)</t>
  </si>
  <si>
    <t>Jumlah Saham Beredar (Miliar Lembar, Diasumsikan Tetap)</t>
  </si>
  <si>
    <t>PROYEKSI LAPORAN LABA RUGI</t>
  </si>
  <si>
    <t>Pendapatan</t>
  </si>
  <si>
    <t>Laba Kotor</t>
  </si>
  <si>
    <t>Beban Usaha</t>
  </si>
  <si>
    <t>Laba Usaha (EBIT)</t>
  </si>
  <si>
    <t>Bagian Atas Hasil Bersih Entitas Asosiasi</t>
  </si>
  <si>
    <t>Beban Keuangan (Bunga)</t>
  </si>
  <si>
    <t>Laba Sebelum Pajak (EBT)</t>
  </si>
  <si>
    <t>Beban Pajak Penghasilan</t>
  </si>
  <si>
    <t>Laba Bersih Tahun Berjalan</t>
  </si>
  <si>
    <t>Laba Bersih - Pemilik Entitas Induk</t>
  </si>
  <si>
    <t>EPS (Rp)</t>
  </si>
  <si>
    <t>PROYEKSI NERACA (SIMPLIFIED)</t>
  </si>
  <si>
    <t>Total Aset (= Pendapatan / Asset Turnover)</t>
  </si>
  <si>
    <t>Total Debt</t>
  </si>
  <si>
    <t>Dividen Dibayar (= Payout% x Laba Bersih Pemilik Tahun Sebelumnya)</t>
  </si>
  <si>
    <t>Ekuitas - Pemilik Entitas Induk</t>
  </si>
  <si>
    <t>Total Ekuitas (Termasuk Kepentingan Non Pengendali)</t>
  </si>
  <si>
    <t>Total Liabilitas (Plug = Total Aset - Total Ekuitas)</t>
  </si>
  <si>
    <t>PROYEKSI ARUS KAS (SIMPLIFIED)</t>
  </si>
  <si>
    <t>Arus Kas Operasi (OCF)</t>
  </si>
  <si>
    <t>Belanja Modal (Capex)</t>
  </si>
  <si>
    <t>Free Cash Flow (FCF)</t>
  </si>
  <si>
    <t>Free Cash Flow Per Share (Rp)</t>
  </si>
  <si>
    <t>Kas Dan Setara Kas Akhir Periode</t>
  </si>
  <si>
    <t>Net Debt</t>
  </si>
  <si>
    <t>PROYEKSI KEY RATIO</t>
  </si>
  <si>
    <t>Return on Assets - ROA (%)</t>
  </si>
  <si>
    <t>Return on Equity - ROE (%)</t>
  </si>
  <si>
    <t>Debt to Equity Ratio (x)</t>
  </si>
  <si>
    <t>Financial Leverage (x)</t>
  </si>
  <si>
    <t>Net Debt/Total Equity (x)</t>
  </si>
  <si>
    <t>Book Value Per Share (Rp)</t>
  </si>
  <si>
    <t>DATA PENDUKUNG 12M 2026F (Q1 Aktual + Forecast Q2-Q4) -- dalam Miliar Rupiah</t>
  </si>
  <si>
    <t>Pendapatan Q1 2026 Aktual (Miliar Rp)</t>
  </si>
  <si>
    <t>Pendapatan Q1 2025 Aktual (Miliar Rp)</t>
  </si>
  <si>
    <t>Pendapatan FY2025 Aktual (Miliar Rp)</t>
  </si>
  <si>
    <t>Pendapatan Q2-Q4 2025 Aktual (Miliar Rp)</t>
  </si>
  <si>
    <t>Growth Rate Top-Down (CAGR 3-Tahun Historis, %)</t>
  </si>
  <si>
    <t>Pendapatan Q2-Q4 2026F (Miliar Rp)</t>
  </si>
  <si>
    <t>Pendapatan FY2026F (Miliar Rp) = Q1 Aktual + Q2-Q4F</t>
  </si>
  <si>
    <t>Growth Rate FY2026F vs FY2025 (%) -- INI YANG DIPAKAI DI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</si>
</sst>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%;\(0.00%\);\-"/>
    <numFmt numFmtId="165" formatCode="0.00\x;\(0.00&quot;x)&quot;;\-"/>
    <numFmt numFmtId="166" formatCode="#,##0.00;\(#,##0.00\);\-"/>
    <numFmt numFmtId="167" formatCode="#,##0&quot; B&quot;;\(#,##0&quot;) B&quot;;\-"/>
    <numFmt numFmtId="168" formatCode="#,##0;\(#,##0\);\-"/>
  </numFmts>
  <fonts count="14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mbria"/>
      <family val="1"/>
    </font>
    <font>
      <sz val="10"/>
      <color rgb="FF0000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808080"/>
      <name val="Cambria"/>
      <family val="1"/>
    </font>
    <font>
      <i/>
      <sz val="9"/>
      <color rgb="FFCC0000"/>
      <name val="Cambria"/>
      <family val="1"/>
    </font>
    <font>
      <b/>
      <sz val="11"/>
      <name val="Cambria"/>
      <family val="1"/>
    </font>
    <font>
      <sz val="11"/>
      <color rgb="FF0000FF"/>
      <name val="Cambria"/>
      <family val="1"/>
    </font>
    <font>
      <sz val="11"/>
      <color rgb="FF008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2F4F6"/>
      </patternFill>
    </fill>
    <fill>
      <patternFill patternType="solid">
        <fgColor theme="1"/>
        <bgColor rgb="FF003300"/>
      </patternFill>
    </fill>
    <fill>
      <patternFill patternType="solid">
        <fgColor rgb="FF374151"/>
        <bgColor rgb="FF1F2937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164" fontId="5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 applyAlignment="1">
      <alignment horizontal="right"/>
    </xf>
    <xf numFmtId="165" fontId="6" fillId="2" borderId="1" xfId="0" applyNumberFormat="1" applyFont="1" applyFill="1" applyBorder="1" applyAlignment="1">
      <alignment horizontal="right"/>
    </xf>
    <xf numFmtId="166" fontId="6" fillId="2" borderId="1" xfId="0" applyNumberFormat="1" applyFont="1" applyFill="1" applyBorder="1" applyAlignment="1">
      <alignment horizontal="right"/>
    </xf>
    <xf numFmtId="0" fontId="7" fillId="4" borderId="0" xfId="0" applyFont="1" applyFill="1" applyAlignment="1">
      <alignment horizontal="left" vertical="center"/>
    </xf>
    <xf numFmtId="0" fontId="0" fillId="4" borderId="0" xfId="0" applyFill="1"/>
    <xf numFmtId="167" fontId="4" fillId="0" borderId="1" xfId="0" applyNumberFormat="1" applyFont="1" applyBorder="1" applyAlignment="1">
      <alignment horizontal="right"/>
    </xf>
    <xf numFmtId="0" fontId="8" fillId="0" borderId="0" xfId="0" applyFont="1" applyAlignment="1">
      <alignment horizontal="left" vertical="center"/>
    </xf>
    <xf numFmtId="167" fontId="8" fillId="5" borderId="1" xfId="0" applyNumberFormat="1" applyFont="1" applyFill="1" applyBorder="1" applyAlignment="1">
      <alignment horizontal="right"/>
    </xf>
    <xf numFmtId="168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left" vertical="top" wrapText="1"/>
    </xf>
    <xf numFmtId="0" fontId="11" fillId="0" borderId="0" xfId="0" applyFont="1"/>
    <xf numFmtId="167" fontId="12" fillId="0" borderId="0" xfId="0" applyNumberFormat="1" applyFont="1"/>
    <xf numFmtId="167" fontId="13" fillId="0" borderId="0" xfId="0" applyNumberFormat="1" applyFont="1"/>
    <xf numFmtId="0" fontId="5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elvinjusuf/Downloads/portfolio-project/public/files/PT%20Rukun%20Raharja%20Tbk%20(RAJA)/(Revision)_RAJA_Financial_Statement_&amp;_Valuation.xlsx" TargetMode="External"/><Relationship Id="rId1" Type="http://schemas.openxmlformats.org/officeDocument/2006/relationships/externalLinkPath" Target="(Revision)_RAJA_Financial_Statement_&amp;_Valu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ey Ratio"/>
      <sheetName val="Market Data"/>
      <sheetName val="Forecast"/>
      <sheetName val="Income Statement"/>
      <sheetName val="Balance Sheet"/>
      <sheetName val="Cash Flow"/>
      <sheetName val="DCF Valuation"/>
      <sheetName val="Relative Valuation"/>
      <sheetName val="Scenario Analysis"/>
      <sheetName val="Sensitivity Analysis"/>
      <sheetName val="Valuation Summary"/>
      <sheetName val="Dashboard"/>
    </sheetNames>
    <sheetDataSet>
      <sheetData sheetId="0">
        <row r="25">
          <cell r="I25">
            <v>2098</v>
          </cell>
          <cell r="J25">
            <v>1845</v>
          </cell>
          <cell r="K25">
            <v>2547</v>
          </cell>
        </row>
        <row r="48">
          <cell r="I48">
            <v>0.68038528896672501</v>
          </cell>
          <cell r="J48">
            <v>0.77349443805140006</v>
          </cell>
          <cell r="K48">
            <v>0.65877061469265363</v>
          </cell>
        </row>
        <row r="53">
          <cell r="I53">
            <v>674</v>
          </cell>
          <cell r="J53">
            <v>773</v>
          </cell>
          <cell r="K53">
            <v>883</v>
          </cell>
        </row>
      </sheetData>
      <sheetData sheetId="1"/>
      <sheetData sheetId="2"/>
      <sheetData sheetId="3">
        <row r="5">
          <cell r="H5">
            <v>1885</v>
          </cell>
          <cell r="I5">
            <v>3108</v>
          </cell>
          <cell r="J5">
            <v>4033</v>
          </cell>
          <cell r="K5">
            <v>4394</v>
          </cell>
        </row>
        <row r="7">
          <cell r="I7">
            <v>1006</v>
          </cell>
          <cell r="J7">
            <v>1097</v>
          </cell>
          <cell r="K7">
            <v>1189</v>
          </cell>
        </row>
        <row r="8">
          <cell r="I8">
            <v>-273</v>
          </cell>
          <cell r="J8">
            <v>-315</v>
          </cell>
          <cell r="K8">
            <v>-417</v>
          </cell>
        </row>
        <row r="14">
          <cell r="I14">
            <v>-141</v>
          </cell>
          <cell r="J14">
            <v>-164</v>
          </cell>
          <cell r="K14">
            <v>-166</v>
          </cell>
        </row>
        <row r="15">
          <cell r="K15">
            <v>325</v>
          </cell>
        </row>
        <row r="20">
          <cell r="I20">
            <v>621</v>
          </cell>
          <cell r="J20">
            <v>700</v>
          </cell>
          <cell r="K20">
            <v>816</v>
          </cell>
        </row>
        <row r="21">
          <cell r="I21">
            <v>-206</v>
          </cell>
          <cell r="J21">
            <v>-240</v>
          </cell>
          <cell r="K21">
            <v>-239</v>
          </cell>
        </row>
        <row r="25">
          <cell r="I25">
            <v>414</v>
          </cell>
          <cell r="J25">
            <v>461</v>
          </cell>
          <cell r="K25">
            <v>577</v>
          </cell>
        </row>
        <row r="30">
          <cell r="I30">
            <v>391</v>
          </cell>
          <cell r="J30">
            <v>405</v>
          </cell>
          <cell r="K30">
            <v>449</v>
          </cell>
        </row>
        <row r="42">
          <cell r="K42">
            <v>4.2300000000000004</v>
          </cell>
        </row>
      </sheetData>
      <sheetData sheetId="4">
        <row r="10">
          <cell r="K10">
            <v>1519</v>
          </cell>
        </row>
        <row r="75">
          <cell r="K75">
            <v>716</v>
          </cell>
        </row>
        <row r="77">
          <cell r="K77">
            <v>4279</v>
          </cell>
        </row>
      </sheetData>
      <sheetData sheetId="5">
        <row r="21">
          <cell r="B21">
            <v>-745</v>
          </cell>
          <cell r="C21">
            <v>-164</v>
          </cell>
          <cell r="D21">
            <v>-538</v>
          </cell>
        </row>
        <row r="49">
          <cell r="B49">
            <v>-251</v>
          </cell>
          <cell r="C49">
            <v>-162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39AA-C6FA-CC48-884D-31695F3668DC}">
  <dimension ref="A1:F71"/>
  <sheetViews>
    <sheetView tabSelected="1" workbookViewId="0">
      <selection sqref="A1:F1"/>
    </sheetView>
  </sheetViews>
  <sheetFormatPr baseColWidth="10" defaultColWidth="8.6640625" defaultRowHeight="16" x14ac:dyDescent="0.2"/>
  <cols>
    <col min="1" max="1" width="56" customWidth="1"/>
    <col min="2" max="6" width="13" customWidth="1"/>
  </cols>
  <sheetData>
    <row r="1" spans="1:6" ht="24" customHeight="1" x14ac:dyDescent="0.2">
      <c r="A1" s="1" t="s">
        <v>0</v>
      </c>
      <c r="B1" s="1"/>
      <c r="C1" s="1"/>
      <c r="D1" s="1"/>
      <c r="E1" s="1"/>
      <c r="F1" s="1"/>
    </row>
    <row r="2" spans="1:6" ht="18" customHeight="1" x14ac:dyDescent="0.2">
      <c r="A2" s="2"/>
      <c r="B2" s="2"/>
      <c r="C2" s="2"/>
      <c r="D2" s="2"/>
      <c r="E2" s="2"/>
      <c r="F2" s="2"/>
    </row>
    <row r="4" spans="1:6" ht="18" customHeight="1" x14ac:dyDescent="0.2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spans="1:6" ht="15" customHeight="1" x14ac:dyDescent="0.2">
      <c r="A5" s="5" t="s">
        <v>7</v>
      </c>
      <c r="B5" s="6">
        <f>B68</f>
        <v>0.21182565928595065</v>
      </c>
      <c r="C5" s="7">
        <f>('[1]Income Statement'!$K$5/'[1]Income Statement'!$H$5)^(1/3)-1</f>
        <v>0.32591667579307804</v>
      </c>
      <c r="D5" s="7">
        <f>('[1]Income Statement'!$K$5/'[1]Income Statement'!$H$5)^(1/3)-1</f>
        <v>0.32591667579307804</v>
      </c>
      <c r="E5" s="7">
        <f>('[1]Income Statement'!$K$5/'[1]Income Statement'!$H$5)^(1/3)-1</f>
        <v>0.32591667579307804</v>
      </c>
      <c r="F5" s="7">
        <f>('[1]Income Statement'!$K$5/'[1]Income Statement'!$H$5)^(1/3)-1</f>
        <v>0.32591667579307804</v>
      </c>
    </row>
    <row r="6" spans="1:6" ht="15" customHeight="1" x14ac:dyDescent="0.2">
      <c r="A6" s="5" t="s">
        <v>8</v>
      </c>
      <c r="B6" s="7">
        <f>AVERAGE('[1]Income Statement'!$I$7/'[1]Income Statement'!$I$5,'[1]Income Statement'!$J$7/'[1]Income Statement'!$J$5,'[1]Income Statement'!$K$7/'[1]Income Statement'!$K$5)</f>
        <v>0.28876101407451499</v>
      </c>
      <c r="C6" s="7">
        <f>AVERAGE('[1]Income Statement'!$I$7/'[1]Income Statement'!$I$5,'[1]Income Statement'!$J$7/'[1]Income Statement'!$J$5,'[1]Income Statement'!$K$7/'[1]Income Statement'!$K$5)</f>
        <v>0.28876101407451499</v>
      </c>
      <c r="D6" s="7">
        <f>AVERAGE('[1]Income Statement'!$I$7/'[1]Income Statement'!$I$5,'[1]Income Statement'!$J$7/'[1]Income Statement'!$J$5,'[1]Income Statement'!$K$7/'[1]Income Statement'!$K$5)</f>
        <v>0.28876101407451499</v>
      </c>
      <c r="E6" s="7">
        <f>AVERAGE('[1]Income Statement'!$I$7/'[1]Income Statement'!$I$5,'[1]Income Statement'!$J$7/'[1]Income Statement'!$J$5,'[1]Income Statement'!$K$7/'[1]Income Statement'!$K$5)</f>
        <v>0.28876101407451499</v>
      </c>
      <c r="F6" s="7">
        <f>AVERAGE('[1]Income Statement'!$I$7/'[1]Income Statement'!$I$5,'[1]Income Statement'!$J$7/'[1]Income Statement'!$J$5,'[1]Income Statement'!$K$7/'[1]Income Statement'!$K$5)</f>
        <v>0.28876101407451499</v>
      </c>
    </row>
    <row r="7" spans="1:6" ht="15" customHeight="1" x14ac:dyDescent="0.2">
      <c r="A7" s="5" t="s">
        <v>9</v>
      </c>
      <c r="B7" s="7">
        <f>AVERAGE(ABS('[1]Income Statement'!$I$8)/'[1]Income Statement'!$I$5,ABS('[1]Income Statement'!$J$8)/'[1]Income Statement'!$J$5,ABS('[1]Income Statement'!$K$8)/'[1]Income Statement'!$K$5)</f>
        <v>8.6948535227673165E-2</v>
      </c>
      <c r="C7" s="7">
        <f>AVERAGE(ABS('[1]Income Statement'!$I$8)/'[1]Income Statement'!$I$5,ABS('[1]Income Statement'!$J$8)/'[1]Income Statement'!$J$5,ABS('[1]Income Statement'!$K$8)/'[1]Income Statement'!$K$5)</f>
        <v>8.6948535227673165E-2</v>
      </c>
      <c r="D7" s="7">
        <f>AVERAGE(ABS('[1]Income Statement'!$I$8)/'[1]Income Statement'!$I$5,ABS('[1]Income Statement'!$J$8)/'[1]Income Statement'!$J$5,ABS('[1]Income Statement'!$K$8)/'[1]Income Statement'!$K$5)</f>
        <v>8.6948535227673165E-2</v>
      </c>
      <c r="E7" s="7">
        <f>AVERAGE(ABS('[1]Income Statement'!$I$8)/'[1]Income Statement'!$I$5,ABS('[1]Income Statement'!$J$8)/'[1]Income Statement'!$J$5,ABS('[1]Income Statement'!$K$8)/'[1]Income Statement'!$K$5)</f>
        <v>8.6948535227673165E-2</v>
      </c>
      <c r="F7" s="7">
        <f>AVERAGE(ABS('[1]Income Statement'!$I$8)/'[1]Income Statement'!$I$5,ABS('[1]Income Statement'!$J$8)/'[1]Income Statement'!$J$5,ABS('[1]Income Statement'!$K$8)/'[1]Income Statement'!$K$5)</f>
        <v>8.6948535227673165E-2</v>
      </c>
    </row>
    <row r="8" spans="1:6" ht="15" customHeight="1" x14ac:dyDescent="0.2">
      <c r="A8" s="5" t="s">
        <v>10</v>
      </c>
      <c r="B8" s="7">
        <f>B5</f>
        <v>0.21182565928595065</v>
      </c>
      <c r="C8" s="7">
        <f>C5</f>
        <v>0.32591667579307804</v>
      </c>
      <c r="D8" s="7">
        <f>D5</f>
        <v>0.32591667579307804</v>
      </c>
      <c r="E8" s="7">
        <f>E5</f>
        <v>0.32591667579307804</v>
      </c>
      <c r="F8" s="7">
        <f>F5</f>
        <v>0.32591667579307804</v>
      </c>
    </row>
    <row r="9" spans="1:6" ht="15" customHeight="1" x14ac:dyDescent="0.2">
      <c r="A9" s="5" t="s">
        <v>11</v>
      </c>
      <c r="B9" s="7">
        <f>AVERAGE(ABS('[1]Income Statement'!$I$14)/'[1]Key Ratio'!$I$25,ABS('[1]Income Statement'!$J$14)/'[1]Key Ratio'!$J$25,ABS('[1]Income Statement'!$K$14)/'[1]Key Ratio'!$K$25)</f>
        <v>7.3756822639992545E-2</v>
      </c>
      <c r="C9" s="7">
        <f>AVERAGE(ABS('[1]Income Statement'!$I$14)/'[1]Key Ratio'!$I$25,ABS('[1]Income Statement'!$J$14)/'[1]Key Ratio'!$J$25,ABS('[1]Income Statement'!$K$14)/'[1]Key Ratio'!$K$25)</f>
        <v>7.3756822639992545E-2</v>
      </c>
      <c r="D9" s="7">
        <f>AVERAGE(ABS('[1]Income Statement'!$I$14)/'[1]Key Ratio'!$I$25,ABS('[1]Income Statement'!$J$14)/'[1]Key Ratio'!$J$25,ABS('[1]Income Statement'!$K$14)/'[1]Key Ratio'!$K$25)</f>
        <v>7.3756822639992545E-2</v>
      </c>
      <c r="E9" s="7">
        <f>AVERAGE(ABS('[1]Income Statement'!$I$14)/'[1]Key Ratio'!$I$25,ABS('[1]Income Statement'!$J$14)/'[1]Key Ratio'!$J$25,ABS('[1]Income Statement'!$K$14)/'[1]Key Ratio'!$K$25)</f>
        <v>7.3756822639992545E-2</v>
      </c>
      <c r="F9" s="7">
        <f>AVERAGE(ABS('[1]Income Statement'!$I$14)/'[1]Key Ratio'!$I$25,ABS('[1]Income Statement'!$J$14)/'[1]Key Ratio'!$J$25,ABS('[1]Income Statement'!$K$14)/'[1]Key Ratio'!$K$25)</f>
        <v>7.3756822639992545E-2</v>
      </c>
    </row>
    <row r="10" spans="1:6" ht="15" customHeight="1" x14ac:dyDescent="0.2">
      <c r="A10" s="5" t="s">
        <v>12</v>
      </c>
      <c r="B10" s="7">
        <f>AVERAGE(ABS('[1]Income Statement'!$I$21)/'[1]Income Statement'!$I$20,ABS('[1]Income Statement'!$J$21)/'[1]Income Statement'!$J$20,ABS('[1]Income Statement'!$K$21)/'[1]Income Statement'!$K$20)</f>
        <v>0.3224907756983631</v>
      </c>
      <c r="C10" s="7">
        <f>AVERAGE(ABS('[1]Income Statement'!$I$21)/'[1]Income Statement'!$I$20,ABS('[1]Income Statement'!$J$21)/'[1]Income Statement'!$J$20,ABS('[1]Income Statement'!$K$21)/'[1]Income Statement'!$K$20)</f>
        <v>0.3224907756983631</v>
      </c>
      <c r="D10" s="7">
        <f>AVERAGE(ABS('[1]Income Statement'!$I$21)/'[1]Income Statement'!$I$20,ABS('[1]Income Statement'!$J$21)/'[1]Income Statement'!$J$20,ABS('[1]Income Statement'!$K$21)/'[1]Income Statement'!$K$20)</f>
        <v>0.3224907756983631</v>
      </c>
      <c r="E10" s="7">
        <f>AVERAGE(ABS('[1]Income Statement'!$I$21)/'[1]Income Statement'!$I$20,ABS('[1]Income Statement'!$J$21)/'[1]Income Statement'!$J$20,ABS('[1]Income Statement'!$K$21)/'[1]Income Statement'!$K$20)</f>
        <v>0.3224907756983631</v>
      </c>
      <c r="F10" s="7">
        <f>AVERAGE(ABS('[1]Income Statement'!$I$21)/'[1]Income Statement'!$I$20,ABS('[1]Income Statement'!$J$21)/'[1]Income Statement'!$J$20,ABS('[1]Income Statement'!$K$21)/'[1]Income Statement'!$K$20)</f>
        <v>0.3224907756983631</v>
      </c>
    </row>
    <row r="11" spans="1:6" ht="15" customHeight="1" x14ac:dyDescent="0.2">
      <c r="A11" s="5" t="s">
        <v>13</v>
      </c>
      <c r="B11" s="7">
        <f>AVERAGE('[1]Income Statement'!$I$30/'[1]Income Statement'!$I$25,'[1]Income Statement'!$J$30/'[1]Income Statement'!$J$25,'[1]Income Statement'!$K$30/'[1]Income Statement'!$K$25)</f>
        <v>0.86704410060876491</v>
      </c>
      <c r="C11" s="7">
        <f>AVERAGE('[1]Income Statement'!$I$30/'[1]Income Statement'!$I$25,'[1]Income Statement'!$J$30/'[1]Income Statement'!$J$25,'[1]Income Statement'!$K$30/'[1]Income Statement'!$K$25)</f>
        <v>0.86704410060876491</v>
      </c>
      <c r="D11" s="7">
        <f>AVERAGE('[1]Income Statement'!$I$30/'[1]Income Statement'!$I$25,'[1]Income Statement'!$J$30/'[1]Income Statement'!$J$25,'[1]Income Statement'!$K$30/'[1]Income Statement'!$K$25)</f>
        <v>0.86704410060876491</v>
      </c>
      <c r="E11" s="7">
        <f>AVERAGE('[1]Income Statement'!$I$30/'[1]Income Statement'!$I$25,'[1]Income Statement'!$J$30/'[1]Income Statement'!$J$25,'[1]Income Statement'!$K$30/'[1]Income Statement'!$K$25)</f>
        <v>0.86704410060876491</v>
      </c>
      <c r="F11" s="7">
        <f>AVERAGE('[1]Income Statement'!$I$30/'[1]Income Statement'!$I$25,'[1]Income Statement'!$J$30/'[1]Income Statement'!$J$25,'[1]Income Statement'!$K$30/'[1]Income Statement'!$K$25)</f>
        <v>0.86704410060876491</v>
      </c>
    </row>
    <row r="12" spans="1:6" ht="15" customHeight="1" x14ac:dyDescent="0.2">
      <c r="A12" s="5" t="s">
        <v>14</v>
      </c>
      <c r="B12" s="7">
        <f>AVERAGE(ABS('[1]Cash Flow'!$B$49)/'[1]Income Statement'!$J$30,ABS('[1]Cash Flow'!$C$49)/'[1]Income Statement'!$I$30)</f>
        <v>0.51703766852956967</v>
      </c>
      <c r="C12" s="7">
        <f>AVERAGE(ABS('[1]Cash Flow'!$B$49)/'[1]Income Statement'!$J$30,ABS('[1]Cash Flow'!$C$49)/'[1]Income Statement'!$I$30)</f>
        <v>0.51703766852956967</v>
      </c>
      <c r="D12" s="7">
        <f>AVERAGE(ABS('[1]Cash Flow'!$B$49)/'[1]Income Statement'!$J$30,ABS('[1]Cash Flow'!$C$49)/'[1]Income Statement'!$I$30)</f>
        <v>0.51703766852956967</v>
      </c>
      <c r="E12" s="7">
        <f>AVERAGE(ABS('[1]Cash Flow'!$B$49)/'[1]Income Statement'!$J$30,ABS('[1]Cash Flow'!$C$49)/'[1]Income Statement'!$I$30)</f>
        <v>0.51703766852956967</v>
      </c>
      <c r="F12" s="7">
        <f>AVERAGE(ABS('[1]Cash Flow'!$B$49)/'[1]Income Statement'!$J$30,ABS('[1]Cash Flow'!$C$49)/'[1]Income Statement'!$I$30)</f>
        <v>0.51703766852956967</v>
      </c>
    </row>
    <row r="13" spans="1:6" ht="15" customHeight="1" x14ac:dyDescent="0.2">
      <c r="A13" s="5" t="s">
        <v>15</v>
      </c>
      <c r="B13" s="7">
        <f>AVERAGE(ABS('[1]Cash Flow'!$B$21)/'[1]Income Statement'!$K$5,ABS('[1]Cash Flow'!$C$21)/'[1]Income Statement'!$J$5,ABS('[1]Cash Flow'!$D$21)/'[1]Income Statement'!$I$5)</f>
        <v>0.12777185878537597</v>
      </c>
      <c r="C13" s="7">
        <f>AVERAGE(ABS('[1]Cash Flow'!$B$21)/'[1]Income Statement'!$K$5,ABS('[1]Cash Flow'!$C$21)/'[1]Income Statement'!$J$5,ABS('[1]Cash Flow'!$D$21)/'[1]Income Statement'!$I$5)</f>
        <v>0.12777185878537597</v>
      </c>
      <c r="D13" s="7">
        <f>AVERAGE(ABS('[1]Cash Flow'!$B$21)/'[1]Income Statement'!$K$5,ABS('[1]Cash Flow'!$C$21)/'[1]Income Statement'!$J$5,ABS('[1]Cash Flow'!$D$21)/'[1]Income Statement'!$I$5)</f>
        <v>0.12777185878537597</v>
      </c>
      <c r="E13" s="7">
        <f>AVERAGE(ABS('[1]Cash Flow'!$B$21)/'[1]Income Statement'!$K$5,ABS('[1]Cash Flow'!$C$21)/'[1]Income Statement'!$J$5,ABS('[1]Cash Flow'!$D$21)/'[1]Income Statement'!$I$5)</f>
        <v>0.12777185878537597</v>
      </c>
      <c r="F13" s="7">
        <f>AVERAGE(ABS('[1]Cash Flow'!$B$21)/'[1]Income Statement'!$K$5,ABS('[1]Cash Flow'!$C$21)/'[1]Income Statement'!$J$5,ABS('[1]Cash Flow'!$D$21)/'[1]Income Statement'!$I$5)</f>
        <v>0.12777185878537597</v>
      </c>
    </row>
    <row r="14" spans="1:6" ht="15" customHeight="1" x14ac:dyDescent="0.2">
      <c r="A14" s="5" t="s">
        <v>16</v>
      </c>
      <c r="B14" s="7">
        <f>AVERAGE('[1]Key Ratio'!$I$53/'[1]Income Statement'!$I$5,'[1]Key Ratio'!$J$53/'[1]Income Statement'!$J$5,'[1]Key Ratio'!$K$53/'[1]Income Statement'!$K$5)</f>
        <v>0.20316143289923216</v>
      </c>
      <c r="C14" s="7">
        <f>AVERAGE('[1]Key Ratio'!$I$53/'[1]Income Statement'!$I$5,'[1]Key Ratio'!$J$53/'[1]Income Statement'!$J$5,'[1]Key Ratio'!$K$53/'[1]Income Statement'!$K$5)</f>
        <v>0.20316143289923216</v>
      </c>
      <c r="D14" s="7">
        <f>AVERAGE('[1]Key Ratio'!$I$53/'[1]Income Statement'!$I$5,'[1]Key Ratio'!$J$53/'[1]Income Statement'!$J$5,'[1]Key Ratio'!$K$53/'[1]Income Statement'!$K$5)</f>
        <v>0.20316143289923216</v>
      </c>
      <c r="E14" s="7">
        <f>AVERAGE('[1]Key Ratio'!$I$53/'[1]Income Statement'!$I$5,'[1]Key Ratio'!$J$53/'[1]Income Statement'!$J$5,'[1]Key Ratio'!$K$53/'[1]Income Statement'!$K$5)</f>
        <v>0.20316143289923216</v>
      </c>
      <c r="F14" s="7">
        <f>AVERAGE('[1]Key Ratio'!$I$53/'[1]Income Statement'!$I$5,'[1]Key Ratio'!$J$53/'[1]Income Statement'!$J$5,'[1]Key Ratio'!$K$53/'[1]Income Statement'!$K$5)</f>
        <v>0.20316143289923216</v>
      </c>
    </row>
    <row r="15" spans="1:6" ht="15" customHeight="1" x14ac:dyDescent="0.2">
      <c r="A15" s="5" t="s">
        <v>17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</row>
    <row r="16" spans="1:6" ht="15" customHeight="1" x14ac:dyDescent="0.2">
      <c r="A16" s="5" t="s">
        <v>18</v>
      </c>
      <c r="B16" s="8">
        <f>AVERAGE('[1]Key Ratio'!$I$48,'[1]Key Ratio'!$J$48,'[1]Key Ratio'!$K$48)</f>
        <v>0.7042167805702596</v>
      </c>
      <c r="C16" s="8">
        <f>AVERAGE('[1]Key Ratio'!$I$48,'[1]Key Ratio'!$J$48,'[1]Key Ratio'!$K$48)</f>
        <v>0.7042167805702596</v>
      </c>
      <c r="D16" s="8">
        <f>AVERAGE('[1]Key Ratio'!$I$48,'[1]Key Ratio'!$J$48,'[1]Key Ratio'!$K$48)</f>
        <v>0.7042167805702596</v>
      </c>
      <c r="E16" s="8">
        <f>AVERAGE('[1]Key Ratio'!$I$48,'[1]Key Ratio'!$J$48,'[1]Key Ratio'!$K$48)</f>
        <v>0.7042167805702596</v>
      </c>
      <c r="F16" s="8">
        <f>AVERAGE('[1]Key Ratio'!$I$48,'[1]Key Ratio'!$J$48,'[1]Key Ratio'!$K$48)</f>
        <v>0.7042167805702596</v>
      </c>
    </row>
    <row r="17" spans="1:6" ht="15" customHeight="1" x14ac:dyDescent="0.2">
      <c r="A17" s="5" t="s">
        <v>19</v>
      </c>
      <c r="B17" s="7">
        <f>'[1]Balance Sheet'!$K$75/'[1]Balance Sheet'!$K$77</f>
        <v>0.16732881514372516</v>
      </c>
      <c r="C17" s="7">
        <f>'[1]Balance Sheet'!$K$75/'[1]Balance Sheet'!$K$77</f>
        <v>0.16732881514372516</v>
      </c>
      <c r="D17" s="7">
        <f>'[1]Balance Sheet'!$K$75/'[1]Balance Sheet'!$K$77</f>
        <v>0.16732881514372516</v>
      </c>
      <c r="E17" s="7">
        <f>'[1]Balance Sheet'!$K$75/'[1]Balance Sheet'!$K$77</f>
        <v>0.16732881514372516</v>
      </c>
      <c r="F17" s="7">
        <f>'[1]Balance Sheet'!$K$75/'[1]Balance Sheet'!$K$77</f>
        <v>0.16732881514372516</v>
      </c>
    </row>
    <row r="18" spans="1:6" ht="15" customHeight="1" x14ac:dyDescent="0.2">
      <c r="A18" s="5" t="s">
        <v>20</v>
      </c>
      <c r="B18" s="9">
        <f>'[1]Income Statement'!$K$42</f>
        <v>4.2300000000000004</v>
      </c>
      <c r="C18" s="9">
        <f>'[1]Income Statement'!$K$42</f>
        <v>4.2300000000000004</v>
      </c>
      <c r="D18" s="9">
        <f>'[1]Income Statement'!$K$42</f>
        <v>4.2300000000000004</v>
      </c>
      <c r="E18" s="9">
        <f>'[1]Income Statement'!$K$42</f>
        <v>4.2300000000000004</v>
      </c>
      <c r="F18" s="9">
        <f>'[1]Income Statement'!$K$42</f>
        <v>4.2300000000000004</v>
      </c>
    </row>
    <row r="20" spans="1:6" ht="19.5" customHeight="1" x14ac:dyDescent="0.2">
      <c r="A20" s="10" t="s">
        <v>21</v>
      </c>
      <c r="B20" s="11"/>
      <c r="C20" s="11"/>
      <c r="D20" s="11"/>
      <c r="E20" s="11"/>
      <c r="F20" s="11"/>
    </row>
    <row r="21" spans="1:6" ht="15" customHeight="1" x14ac:dyDescent="0.2">
      <c r="A21" s="5" t="s">
        <v>22</v>
      </c>
      <c r="B21" s="12">
        <f>'[1]Income Statement'!$K$5*(1+B5)</f>
        <v>5324.7619469024676</v>
      </c>
      <c r="C21" s="12">
        <f>B21*(1+C5)</f>
        <v>7060.1906600263983</v>
      </c>
      <c r="D21" s="12">
        <f>C21*(1+D5)</f>
        <v>9361.2245304075404</v>
      </c>
      <c r="E21" s="12">
        <f>D21*(1+E5)</f>
        <v>12412.203710710584</v>
      </c>
      <c r="F21" s="12">
        <f>E21*(1+F5)</f>
        <v>16457.547883371884</v>
      </c>
    </row>
    <row r="22" spans="1:6" ht="15" customHeight="1" x14ac:dyDescent="0.2">
      <c r="A22" s="5" t="s">
        <v>23</v>
      </c>
      <c r="B22" s="12">
        <f>B21*B6</f>
        <v>1537.5836594929453</v>
      </c>
      <c r="C22" s="12">
        <f>C21*C6</f>
        <v>2038.7078145486421</v>
      </c>
      <c r="D22" s="12">
        <f>D21*D6</f>
        <v>2703.1566883797068</v>
      </c>
      <c r="E22" s="12">
        <f>E21*E6</f>
        <v>3584.1605304042464</v>
      </c>
      <c r="F22" s="12">
        <f>F21*F6</f>
        <v>4752.2982159823532</v>
      </c>
    </row>
    <row r="23" spans="1:6" ht="15" customHeight="1" x14ac:dyDescent="0.2">
      <c r="A23" s="5" t="s">
        <v>24</v>
      </c>
      <c r="B23" s="12">
        <f>-B21*B7</f>
        <v>-462.98025171922274</v>
      </c>
      <c r="C23" s="12">
        <f>-C21*C7</f>
        <v>-613.87323631739434</v>
      </c>
      <c r="D23" s="12">
        <f>-D21*D7</f>
        <v>-813.94476085629822</v>
      </c>
      <c r="E23" s="12">
        <f>-E21*E7</f>
        <v>-1079.2229315937748</v>
      </c>
      <c r="F23" s="12">
        <f>-F21*F7</f>
        <v>-1430.9596818984783</v>
      </c>
    </row>
    <row r="24" spans="1:6" ht="15" customHeight="1" x14ac:dyDescent="0.2">
      <c r="A24" s="13" t="s">
        <v>25</v>
      </c>
      <c r="B24" s="14">
        <f>B22+B23</f>
        <v>1074.6034077737227</v>
      </c>
      <c r="C24" s="14">
        <f>C22+C23</f>
        <v>1424.8345782312476</v>
      </c>
      <c r="D24" s="14">
        <f>D22+D23</f>
        <v>1889.2119275234086</v>
      </c>
      <c r="E24" s="14">
        <f>E22+E23</f>
        <v>2504.9375988104716</v>
      </c>
      <c r="F24" s="14">
        <f>F22+F23</f>
        <v>3321.3385340838749</v>
      </c>
    </row>
    <row r="25" spans="1:6" ht="15" customHeight="1" x14ac:dyDescent="0.2">
      <c r="A25" s="5" t="s">
        <v>26</v>
      </c>
      <c r="B25" s="12">
        <f>'[1]Income Statement'!$K$15*(1+B8)</f>
        <v>393.84333926793397</v>
      </c>
      <c r="C25" s="12">
        <f>B25*(1+C8)</f>
        <v>522.20345118538444</v>
      </c>
      <c r="D25" s="12">
        <f>C25*(1+D8)</f>
        <v>692.39826408339786</v>
      </c>
      <c r="E25" s="12">
        <f>D25*(1+E8)</f>
        <v>918.06240463835672</v>
      </c>
      <c r="F25" s="12">
        <f>E25*(1+F8)</f>
        <v>1217.2742517286897</v>
      </c>
    </row>
    <row r="26" spans="1:6" ht="15" customHeight="1" x14ac:dyDescent="0.2">
      <c r="A26" s="5" t="s">
        <v>27</v>
      </c>
      <c r="B26" s="12">
        <f>-AVERAGE('[1]Key Ratio'!$K$25,B35)*B9</f>
        <v>-187.858627264061</v>
      </c>
      <c r="C26" s="12">
        <f>-AVERAGE(B35,C35)*C9</f>
        <v>-187.858627264061</v>
      </c>
      <c r="D26" s="12">
        <f>-AVERAGE(C35,D35)*D9</f>
        <v>-187.858627264061</v>
      </c>
      <c r="E26" s="12">
        <f>-AVERAGE(D35,E35)*E9</f>
        <v>-187.858627264061</v>
      </c>
      <c r="F26" s="12">
        <f>-AVERAGE(E35,F35)*F9</f>
        <v>-187.858627264061</v>
      </c>
    </row>
    <row r="27" spans="1:6" ht="15" customHeight="1" x14ac:dyDescent="0.2">
      <c r="A27" s="13" t="s">
        <v>28</v>
      </c>
      <c r="B27" s="14">
        <f>B24+B25+B26</f>
        <v>1280.5881197775957</v>
      </c>
      <c r="C27" s="14">
        <f>C24+C25+C26</f>
        <v>1759.1794021525711</v>
      </c>
      <c r="D27" s="14">
        <f>D24+D25+D26</f>
        <v>2393.7515643427455</v>
      </c>
      <c r="E27" s="14">
        <f>E24+E25+E26</f>
        <v>3235.1413761847675</v>
      </c>
      <c r="F27" s="14">
        <f>F24+F25+F26</f>
        <v>4350.7541585485033</v>
      </c>
    </row>
    <row r="28" spans="1:6" ht="15" customHeight="1" x14ac:dyDescent="0.2">
      <c r="A28" s="5" t="s">
        <v>29</v>
      </c>
      <c r="B28" s="12">
        <f>-B27*B10</f>
        <v>-412.97785609718517</v>
      </c>
      <c r="C28" s="12">
        <f>-C27*C10</f>
        <v>-567.31912999276528</v>
      </c>
      <c r="D28" s="12">
        <f>-D27*D10</f>
        <v>-771.96279881406213</v>
      </c>
      <c r="E28" s="12">
        <f>-E27*E10</f>
        <v>-1043.3032518996956</v>
      </c>
      <c r="F28" s="12">
        <f>-F27*F10</f>
        <v>-1403.0780834631857</v>
      </c>
    </row>
    <row r="29" spans="1:6" ht="15" customHeight="1" x14ac:dyDescent="0.2">
      <c r="A29" s="13" t="s">
        <v>30</v>
      </c>
      <c r="B29" s="14">
        <f>B27+B28</f>
        <v>867.61026368041053</v>
      </c>
      <c r="C29" s="14">
        <f>C27+C28</f>
        <v>1191.8602721598058</v>
      </c>
      <c r="D29" s="14">
        <f>D27+D28</f>
        <v>1621.7887655286834</v>
      </c>
      <c r="E29" s="14">
        <f>E27+E28</f>
        <v>2191.8381242850719</v>
      </c>
      <c r="F29" s="14">
        <f>F27+F28</f>
        <v>2947.6760750853173</v>
      </c>
    </row>
    <row r="30" spans="1:6" ht="15" customHeight="1" x14ac:dyDescent="0.2">
      <c r="A30" s="13" t="s">
        <v>31</v>
      </c>
      <c r="B30" s="14">
        <f>B29*B11</f>
        <v>752.25636075171496</v>
      </c>
      <c r="C30" s="14">
        <f>C29*C11</f>
        <v>1033.3954177261166</v>
      </c>
      <c r="D30" s="14">
        <f>D29*D11</f>
        <v>1406.1623815852163</v>
      </c>
      <c r="E30" s="14">
        <f>E29*E11</f>
        <v>1900.4203151507525</v>
      </c>
      <c r="F30" s="14">
        <f>F29*F11</f>
        <v>2555.7651514083232</v>
      </c>
    </row>
    <row r="31" spans="1:6" ht="15" customHeight="1" x14ac:dyDescent="0.2">
      <c r="A31" s="5" t="s">
        <v>32</v>
      </c>
      <c r="B31" s="15">
        <f>B30/B18</f>
        <v>177.83838315643379</v>
      </c>
      <c r="C31" s="15">
        <f>C30/C18</f>
        <v>244.30151719293536</v>
      </c>
      <c r="D31" s="15">
        <f>D30/D18</f>
        <v>332.42609493740332</v>
      </c>
      <c r="E31" s="15">
        <f>E30/E18</f>
        <v>449.2719421160171</v>
      </c>
      <c r="F31" s="15">
        <f>F30/F18</f>
        <v>604.19979938731035</v>
      </c>
    </row>
    <row r="33" spans="1:6" ht="19.5" customHeight="1" x14ac:dyDescent="0.2">
      <c r="A33" s="10" t="s">
        <v>33</v>
      </c>
      <c r="B33" s="11"/>
      <c r="C33" s="11"/>
      <c r="D33" s="11"/>
      <c r="E33" s="11"/>
      <c r="F33" s="11"/>
    </row>
    <row r="34" spans="1:6" ht="15" customHeight="1" x14ac:dyDescent="0.2">
      <c r="A34" s="5" t="s">
        <v>34</v>
      </c>
      <c r="B34" s="12">
        <f>B21/B16</f>
        <v>7561.253997086792</v>
      </c>
      <c r="C34" s="12">
        <f>C21/C16</f>
        <v>10025.592764644443</v>
      </c>
      <c r="D34" s="12">
        <f>D21/D16</f>
        <v>13293.100631352496</v>
      </c>
      <c r="E34" s="12">
        <f>E21/E16</f>
        <v>17625.54380010577</v>
      </c>
      <c r="F34" s="12">
        <f>F21/F16</f>
        <v>23370.002444481535</v>
      </c>
    </row>
    <row r="35" spans="1:6" ht="15" customHeight="1" x14ac:dyDescent="0.2">
      <c r="A35" s="5" t="s">
        <v>35</v>
      </c>
      <c r="B35" s="12">
        <f>'[1]Key Ratio'!$K$25*(1+B15)</f>
        <v>2547</v>
      </c>
      <c r="C35" s="12">
        <f>B35*(1+C15)</f>
        <v>2547</v>
      </c>
      <c r="D35" s="12">
        <f>C35*(1+D15)</f>
        <v>2547</v>
      </c>
      <c r="E35" s="12">
        <f>D35*(1+E15)</f>
        <v>2547</v>
      </c>
      <c r="F35" s="12">
        <f>E35*(1+F15)</f>
        <v>2547</v>
      </c>
    </row>
    <row r="36" spans="1:6" ht="15" customHeight="1" x14ac:dyDescent="0.2">
      <c r="A36" s="5" t="s">
        <v>36</v>
      </c>
      <c r="B36" s="12">
        <f>'[1]Income Statement'!$K$30*B12</f>
        <v>232.1499131697768</v>
      </c>
      <c r="C36" s="12">
        <f>B30*C12</f>
        <v>388.94487489960557</v>
      </c>
      <c r="D36" s="12">
        <f>C30*D12</f>
        <v>534.30435745025204</v>
      </c>
      <c r="E36" s="12">
        <f>D30*E12</f>
        <v>727.03891934880733</v>
      </c>
      <c r="F36" s="12">
        <f>E30*F12</f>
        <v>982.58888897177508</v>
      </c>
    </row>
    <row r="37" spans="1:6" ht="15" customHeight="1" x14ac:dyDescent="0.2">
      <c r="A37" s="13" t="s">
        <v>37</v>
      </c>
      <c r="B37" s="14">
        <f>('[1]Balance Sheet'!$K$77-'[1]Balance Sheet'!$K$75)+B30-B36</f>
        <v>4083.106447581938</v>
      </c>
      <c r="C37" s="14">
        <f>B37+C30-C36</f>
        <v>4727.5569904084496</v>
      </c>
      <c r="D37" s="14">
        <f>C37+D30-D36</f>
        <v>5599.4150145434141</v>
      </c>
      <c r="E37" s="14">
        <f>D37+E30-E36</f>
        <v>6772.7964103453596</v>
      </c>
      <c r="F37" s="14">
        <f>E37+F30-F36</f>
        <v>8345.972672781907</v>
      </c>
    </row>
    <row r="38" spans="1:6" ht="15" customHeight="1" x14ac:dyDescent="0.2">
      <c r="A38" s="5" t="s">
        <v>38</v>
      </c>
      <c r="B38" s="12">
        <f>B37/(1-B17)</f>
        <v>4903.6240497342442</v>
      </c>
      <c r="C38" s="12">
        <f>C37/(1-C17)</f>
        <v>5677.5796693678794</v>
      </c>
      <c r="D38" s="12">
        <f>D37/(1-D17)</f>
        <v>6724.641270623426</v>
      </c>
      <c r="E38" s="12">
        <f>E37/(1-E17)</f>
        <v>8133.8186471703038</v>
      </c>
      <c r="F38" s="12">
        <f>F37/(1-F17)</f>
        <v>10023.131368743692</v>
      </c>
    </row>
    <row r="39" spans="1:6" ht="15" customHeight="1" x14ac:dyDescent="0.2">
      <c r="A39" s="5" t="s">
        <v>39</v>
      </c>
      <c r="B39" s="12">
        <f>B34-B38</f>
        <v>2657.6299473525478</v>
      </c>
      <c r="C39" s="12">
        <f>C34-C38</f>
        <v>4348.0130952765639</v>
      </c>
      <c r="D39" s="12">
        <f>D34-D38</f>
        <v>6568.4593607290699</v>
      </c>
      <c r="E39" s="12">
        <f>E34-E38</f>
        <v>9491.7251529354653</v>
      </c>
      <c r="F39" s="12">
        <f>F34-F38</f>
        <v>13346.871075737843</v>
      </c>
    </row>
    <row r="41" spans="1:6" ht="19.5" customHeight="1" x14ac:dyDescent="0.2">
      <c r="A41" s="10" t="s">
        <v>40</v>
      </c>
      <c r="B41" s="11"/>
      <c r="C41" s="11"/>
      <c r="D41" s="11"/>
      <c r="E41" s="11"/>
      <c r="F41" s="11"/>
    </row>
    <row r="42" spans="1:6" ht="15" customHeight="1" x14ac:dyDescent="0.2">
      <c r="A42" s="5" t="s">
        <v>41</v>
      </c>
      <c r="B42" s="12">
        <f>B21*B14</f>
        <v>1081.7862669800104</v>
      </c>
      <c r="C42" s="12">
        <f>C21*C14</f>
        <v>1434.3584510327387</v>
      </c>
      <c r="D42" s="12">
        <f>D21*D14</f>
        <v>1901.8397892890378</v>
      </c>
      <c r="E42" s="12">
        <f>E21*E14</f>
        <v>2521.681091305129</v>
      </c>
      <c r="F42" s="12">
        <f>F21*F14</f>
        <v>3343.5390099935576</v>
      </c>
    </row>
    <row r="43" spans="1:6" ht="15" customHeight="1" x14ac:dyDescent="0.2">
      <c r="A43" s="5" t="s">
        <v>42</v>
      </c>
      <c r="B43" s="12">
        <f>-B21*B13</f>
        <v>-680.35473154536578</v>
      </c>
      <c r="C43" s="12">
        <f>-C21*C13</f>
        <v>-902.09368401072334</v>
      </c>
      <c r="D43" s="12">
        <f>-D21*D13</f>
        <v>-1196.1010587574299</v>
      </c>
      <c r="E43" s="12">
        <f>-E21*E13</f>
        <v>-1585.9303397402325</v>
      </c>
      <c r="F43" s="12">
        <f>-F21*F13</f>
        <v>-2102.8114841077559</v>
      </c>
    </row>
    <row r="44" spans="1:6" ht="15" customHeight="1" x14ac:dyDescent="0.2">
      <c r="A44" s="13" t="s">
        <v>43</v>
      </c>
      <c r="B44" s="14">
        <f>B42+B43</f>
        <v>401.43153543464462</v>
      </c>
      <c r="C44" s="14">
        <f>C42+C43</f>
        <v>532.26476702201535</v>
      </c>
      <c r="D44" s="14">
        <f>D42+D43</f>
        <v>705.73873053160787</v>
      </c>
      <c r="E44" s="14">
        <f>E42+E43</f>
        <v>935.75075156489652</v>
      </c>
      <c r="F44" s="14">
        <f>F42+F43</f>
        <v>1240.7275258858017</v>
      </c>
    </row>
    <row r="45" spans="1:6" ht="15" customHeight="1" x14ac:dyDescent="0.2">
      <c r="A45" s="13" t="s">
        <v>44</v>
      </c>
      <c r="B45" s="14">
        <f>B44/B18</f>
        <v>94.901072206771772</v>
      </c>
      <c r="C45" s="14">
        <f>C44/C18</f>
        <v>125.83091418960173</v>
      </c>
      <c r="D45" s="14">
        <f>D44/D18</f>
        <v>166.84130745428081</v>
      </c>
      <c r="E45" s="14">
        <f>E44/E18</f>
        <v>221.21767176475092</v>
      </c>
      <c r="F45" s="14">
        <f>F44/F18</f>
        <v>293.31619997300271</v>
      </c>
    </row>
    <row r="46" spans="1:6" ht="15" customHeight="1" x14ac:dyDescent="0.2">
      <c r="A46" s="5" t="s">
        <v>45</v>
      </c>
      <c r="B46" s="12">
        <f>'[1]Balance Sheet'!$K$10+B42+B43+(B35-'[1]Key Ratio'!$K$25)-B36</f>
        <v>1688.2816222648682</v>
      </c>
      <c r="C46" s="12">
        <f>B46+C42+C43+(C35-B35)-C36</f>
        <v>1831.6015143872783</v>
      </c>
      <c r="D46" s="12">
        <f>C46+D42+D43+(D35-C35)-D36</f>
        <v>2003.035887468634</v>
      </c>
      <c r="E46" s="12">
        <f>D46+E42+E43+(E35-D35)-E36</f>
        <v>2211.7477196847231</v>
      </c>
      <c r="F46" s="12">
        <f>E46+F42+F43+(F35-E35)-F36</f>
        <v>2469.8863565987494</v>
      </c>
    </row>
    <row r="47" spans="1:6" ht="15" customHeight="1" x14ac:dyDescent="0.2">
      <c r="A47" s="5" t="s">
        <v>46</v>
      </c>
      <c r="B47" s="12">
        <f>B35-B46</f>
        <v>858.71837773513175</v>
      </c>
      <c r="C47" s="12">
        <f>C35-C46</f>
        <v>715.39848561272174</v>
      </c>
      <c r="D47" s="12">
        <f>D35-D46</f>
        <v>543.96411253136603</v>
      </c>
      <c r="E47" s="12">
        <f>E35-E46</f>
        <v>335.25228031527695</v>
      </c>
      <c r="F47" s="12">
        <f>F35-F46</f>
        <v>77.113643401250556</v>
      </c>
    </row>
    <row r="49" spans="1:6" ht="19.5" customHeight="1" x14ac:dyDescent="0.2">
      <c r="A49" s="10" t="s">
        <v>47</v>
      </c>
      <c r="B49" s="11"/>
      <c r="C49" s="11"/>
      <c r="D49" s="11"/>
      <c r="E49" s="11"/>
      <c r="F49" s="11"/>
    </row>
    <row r="50" spans="1:6" ht="15" customHeight="1" x14ac:dyDescent="0.2">
      <c r="A50" s="5" t="s">
        <v>48</v>
      </c>
      <c r="B50" s="16">
        <f>B30/B34</f>
        <v>9.9488307236014706E-2</v>
      </c>
      <c r="C50" s="16">
        <f>C30/C34</f>
        <v>0.10307574245090194</v>
      </c>
      <c r="D50" s="16">
        <f>D30/D34</f>
        <v>0.10578136889061882</v>
      </c>
      <c r="E50" s="16">
        <f>E30/E34</f>
        <v>0.10782193937978515</v>
      </c>
      <c r="F50" s="16">
        <f>F30/F34</f>
        <v>0.10936092785954447</v>
      </c>
    </row>
    <row r="51" spans="1:6" ht="15" customHeight="1" x14ac:dyDescent="0.2">
      <c r="A51" s="5" t="s">
        <v>49</v>
      </c>
      <c r="B51" s="16">
        <f>B30/B37</f>
        <v>0.18423628440968265</v>
      </c>
      <c r="C51" s="16">
        <f>C30/C37</f>
        <v>0.21858973246070457</v>
      </c>
      <c r="D51" s="16">
        <f>D30/D37</f>
        <v>0.25112665839788217</v>
      </c>
      <c r="E51" s="16">
        <f>E30/E37</f>
        <v>0.28059610831471099</v>
      </c>
      <c r="F51" s="16">
        <f>F30/F37</f>
        <v>0.30622735678769331</v>
      </c>
    </row>
    <row r="52" spans="1:6" ht="15" customHeight="1" x14ac:dyDescent="0.2">
      <c r="A52" s="5" t="s">
        <v>50</v>
      </c>
      <c r="B52" s="17">
        <f>B35/B37</f>
        <v>0.62378976220626392</v>
      </c>
      <c r="C52" s="17">
        <f>C35/C37</f>
        <v>0.53875606474284832</v>
      </c>
      <c r="D52" s="17">
        <f>D35/D37</f>
        <v>0.45486894494954427</v>
      </c>
      <c r="E52" s="17">
        <f>E35/E37</f>
        <v>0.37606327515020088</v>
      </c>
      <c r="F52" s="17">
        <f>F35/F37</f>
        <v>0.30517713151713755</v>
      </c>
    </row>
    <row r="53" spans="1:6" ht="15" customHeight="1" x14ac:dyDescent="0.2">
      <c r="A53" s="5" t="s">
        <v>51</v>
      </c>
      <c r="B53" s="17">
        <f>B34/B37</f>
        <v>1.8518385680502285</v>
      </c>
      <c r="C53" s="17">
        <f>C34/C37</f>
        <v>2.1206709480150034</v>
      </c>
      <c r="D53" s="17">
        <f>D34/D37</f>
        <v>2.374015963600876</v>
      </c>
      <c r="E53" s="17">
        <f>E34/E37</f>
        <v>2.6024027199729463</v>
      </c>
      <c r="F53" s="17">
        <f>F34/F37</f>
        <v>2.800153242856446</v>
      </c>
    </row>
    <row r="54" spans="1:6" ht="15" customHeight="1" x14ac:dyDescent="0.2">
      <c r="A54" s="5" t="s">
        <v>52</v>
      </c>
      <c r="B54" s="17">
        <f>B47/B37</f>
        <v>0.21031006385926443</v>
      </c>
      <c r="C54" s="17">
        <f>C47/C37</f>
        <v>0.15132519545806958</v>
      </c>
      <c r="D54" s="17">
        <f>D47/D37</f>
        <v>9.7146596763862447E-2</v>
      </c>
      <c r="E54" s="17">
        <f>E47/E37</f>
        <v>4.9499831384741372E-2</v>
      </c>
      <c r="F54" s="17">
        <f>F47/F37</f>
        <v>9.2396232799486014E-3</v>
      </c>
    </row>
    <row r="55" spans="1:6" ht="15" customHeight="1" x14ac:dyDescent="0.2">
      <c r="A55" s="5" t="s">
        <v>53</v>
      </c>
      <c r="B55" s="15">
        <f>B37/B18</f>
        <v>965.27339186334223</v>
      </c>
      <c r="C55" s="15">
        <f>C37/C18</f>
        <v>1117.6257660540068</v>
      </c>
      <c r="D55" s="15">
        <f>D37/D18</f>
        <v>1323.7387741237385</v>
      </c>
      <c r="E55" s="15">
        <f>E37/E18</f>
        <v>1601.1339031549312</v>
      </c>
      <c r="F55" s="15">
        <f>F37/F18</f>
        <v>1973.0431850548241</v>
      </c>
    </row>
    <row r="57" spans="1:6" ht="15" customHeight="1" x14ac:dyDescent="0.2">
      <c r="A57" s="18"/>
    </row>
    <row r="58" spans="1:6" ht="78" customHeight="1" x14ac:dyDescent="0.2">
      <c r="A58" s="19"/>
      <c r="B58" s="19"/>
      <c r="C58" s="19"/>
      <c r="D58" s="19"/>
      <c r="E58" s="19"/>
      <c r="F58" s="19"/>
    </row>
    <row r="60" spans="1:6" ht="15" customHeight="1" x14ac:dyDescent="0.2">
      <c r="A60" s="20" t="s">
        <v>54</v>
      </c>
    </row>
    <row r="61" spans="1:6" ht="15" customHeight="1" x14ac:dyDescent="0.2">
      <c r="A61" t="s">
        <v>55</v>
      </c>
      <c r="B61" s="21">
        <v>932</v>
      </c>
    </row>
    <row r="62" spans="1:6" ht="15" customHeight="1" x14ac:dyDescent="0.2">
      <c r="A62" t="s">
        <v>56</v>
      </c>
      <c r="B62" s="21">
        <v>1081</v>
      </c>
    </row>
    <row r="63" spans="1:6" ht="15" customHeight="1" x14ac:dyDescent="0.2">
      <c r="A63" t="s">
        <v>57</v>
      </c>
      <c r="B63" s="22">
        <f>'[1]Income Statement'!$K$5</f>
        <v>4394</v>
      </c>
    </row>
    <row r="64" spans="1:6" ht="15" customHeight="1" x14ac:dyDescent="0.2">
      <c r="A64" t="s">
        <v>58</v>
      </c>
      <c r="B64" s="23">
        <f>B63-B62</f>
        <v>3313</v>
      </c>
    </row>
    <row r="65" spans="1:2" ht="15" customHeight="1" x14ac:dyDescent="0.2">
      <c r="A65" t="s">
        <v>59</v>
      </c>
      <c r="B65" s="23">
        <f>('[1]Income Statement'!$K$5/'[1]Income Statement'!$H$5)^(1/3)-1</f>
        <v>0.32591667579307804</v>
      </c>
    </row>
    <row r="66" spans="1:2" ht="15" customHeight="1" x14ac:dyDescent="0.2">
      <c r="A66" t="s">
        <v>60</v>
      </c>
      <c r="B66" s="23">
        <f>B64*(1+B65)</f>
        <v>4392.7619469024676</v>
      </c>
    </row>
    <row r="67" spans="1:2" ht="15" customHeight="1" x14ac:dyDescent="0.2">
      <c r="A67" t="s">
        <v>61</v>
      </c>
      <c r="B67" s="23">
        <f>B61+B66</f>
        <v>5324.7619469024676</v>
      </c>
    </row>
    <row r="68" spans="1:2" ht="15" customHeight="1" x14ac:dyDescent="0.2">
      <c r="A68" t="s">
        <v>62</v>
      </c>
      <c r="B68" s="23">
        <f>B67/B63-1</f>
        <v>0.21182565928595065</v>
      </c>
    </row>
    <row r="70" spans="1:2" ht="15" customHeight="1" x14ac:dyDescent="0.2">
      <c r="A70" s="18"/>
    </row>
    <row r="71" spans="1:2" ht="15" customHeight="1" x14ac:dyDescent="0.2">
      <c r="A71" s="24"/>
    </row>
  </sheetData>
  <mergeCells count="3">
    <mergeCell ref="A1:F1"/>
    <mergeCell ref="A2:F2"/>
    <mergeCell ref="A58:F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</dc:creator>
  <cp:lastModifiedBy>Melvin</cp:lastModifiedBy>
  <dcterms:created xsi:type="dcterms:W3CDTF">2026-08-02T02:51:28Z</dcterms:created>
  <dcterms:modified xsi:type="dcterms:W3CDTF">2026-08-02T02:52:36Z</dcterms:modified>
</cp:coreProperties>
</file>