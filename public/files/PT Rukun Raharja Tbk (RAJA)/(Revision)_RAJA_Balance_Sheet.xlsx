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melvinjusuf/Downloads/portfolio-project/public/files/PT Rukun Raharja Tbk (RAJA)/"/>
    </mc:Choice>
  </mc:AlternateContent>
  <xr:revisionPtr revIDLastSave="0" documentId="13_ncr:1_{1B59A54C-EC1B-1640-8D84-970B18DB6F04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Balance 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83" i="1" l="1"/>
  <c r="J83" i="1"/>
  <c r="I83" i="1"/>
  <c r="H83" i="1"/>
  <c r="G83" i="1"/>
  <c r="F83" i="1"/>
  <c r="E83" i="1"/>
  <c r="D83" i="1"/>
  <c r="C83" i="1"/>
  <c r="B83" i="1"/>
</calcChain>
</file>

<file path=xl/sharedStrings.xml><?xml version="1.0" encoding="utf-8"?>
<sst xmlns="http://schemas.openxmlformats.org/spreadsheetml/2006/main" count="82" uniqueCount="73">
  <si>
    <t>Keterangan</t>
  </si>
  <si>
    <t>12M 2016</t>
  </si>
  <si>
    <t>12M 2017</t>
  </si>
  <si>
    <t>12M 2018</t>
  </si>
  <si>
    <t>12M 2019</t>
  </si>
  <si>
    <t>12M 2020</t>
  </si>
  <si>
    <t>12M 2021</t>
  </si>
  <si>
    <t>12M 2022</t>
  </si>
  <si>
    <t>12M 2023</t>
  </si>
  <si>
    <t>12M 2024</t>
  </si>
  <si>
    <t>12M 2025</t>
  </si>
  <si>
    <t>ASET</t>
  </si>
  <si>
    <t>Aset Lancar</t>
  </si>
  <si>
    <t xml:space="preserve">    Kas Dan Setara Kas</t>
  </si>
  <si>
    <t xml:space="preserve">        Kas Dan Setara Kas</t>
  </si>
  <si>
    <t xml:space="preserve">        Pihak Ketiga</t>
  </si>
  <si>
    <t xml:space="preserve">        Total Kas Dan Setara Kas</t>
  </si>
  <si>
    <t xml:space="preserve">    Piutang Usaha</t>
  </si>
  <si>
    <t xml:space="preserve">        Pihak Berelasi</t>
  </si>
  <si>
    <t xml:space="preserve">        Total Piutang Usaha</t>
  </si>
  <si>
    <t xml:space="preserve">    Piutang Lain-Lain</t>
  </si>
  <si>
    <t xml:space="preserve">        Total Piutang Lain-Lain</t>
  </si>
  <si>
    <t xml:space="preserve">    Persediaan</t>
  </si>
  <si>
    <t xml:space="preserve">    Investasi Jangka Pendek</t>
  </si>
  <si>
    <t xml:space="preserve">    Aset Lancar Lainnya (Others)</t>
  </si>
  <si>
    <t xml:space="preserve">    TOTAL ASET LANCAR</t>
  </si>
  <si>
    <t>TOTAL ASET TIDAK LANCAR</t>
  </si>
  <si>
    <t>TOTAL ASET</t>
  </si>
  <si>
    <t>LIABILITAS DAN EKUITAS</t>
  </si>
  <si>
    <t>Liabilitas</t>
  </si>
  <si>
    <t xml:space="preserve">    Liabilitas Jangka Pendek</t>
  </si>
  <si>
    <t xml:space="preserve">        Utang Bank Jangka Pendek</t>
  </si>
  <si>
    <t xml:space="preserve">        Utang Usaha</t>
  </si>
  <si>
    <t xml:space="preserve">            Pihak Ketiga</t>
  </si>
  <si>
    <t xml:space="preserve">            Pihak Berelasi</t>
  </si>
  <si>
    <t xml:space="preserve">            Total Utang Usaha</t>
  </si>
  <si>
    <t xml:space="preserve">        Utang Pajak</t>
  </si>
  <si>
    <t xml:space="preserve">        Utang Lain-Lain</t>
  </si>
  <si>
    <t xml:space="preserve">            Total Utang Lain-Lain</t>
  </si>
  <si>
    <t xml:space="preserve">        Beban Akrual</t>
  </si>
  <si>
    <t xml:space="preserve">        Utang Surat Promes</t>
  </si>
  <si>
    <t xml:space="preserve">        Bagian Lancar Atas Liabilitas Jangka Panjang</t>
  </si>
  <si>
    <t xml:space="preserve">            Utang Bank Jangka Panjang</t>
  </si>
  <si>
    <t xml:space="preserve">            Utang Pembelian Aset</t>
  </si>
  <si>
    <t xml:space="preserve">            Utang Sewa Pembiayaan</t>
  </si>
  <si>
    <t xml:space="preserve">            Others</t>
  </si>
  <si>
    <t xml:space="preserve">            Total Bagian Lancar Atas Liabilitas Jangka Panjang</t>
  </si>
  <si>
    <t xml:space="preserve">        Liabilitas Jangka Pendek Lainnya (Others)</t>
  </si>
  <si>
    <t xml:space="preserve">    TOTAL LIABILITAS JANGKA PENDEK</t>
  </si>
  <si>
    <t xml:space="preserve">    Liabilitas Jangka Panjang</t>
  </si>
  <si>
    <t xml:space="preserve">        Liabilitas Pajak Tangguhan</t>
  </si>
  <si>
    <t xml:space="preserve">        Utang Bank &amp; Sewa Pembiayaan Jangka Panjang</t>
  </si>
  <si>
    <t xml:space="preserve">            Total Utang Bank &amp; Sewa Pembiayaan Jangka Panjang</t>
  </si>
  <si>
    <t xml:space="preserve">        Utang Obligasi</t>
  </si>
  <si>
    <t xml:space="preserve">        Utang Jangka Panjang Lainnya</t>
  </si>
  <si>
    <t xml:space="preserve">        Liabilitas Jangka Panjang Lainnya (Others)</t>
  </si>
  <si>
    <t xml:space="preserve">    TOTAL LIABILITAS JANGKA PANJANG</t>
  </si>
  <si>
    <t>TOTAL LIABILITAS</t>
  </si>
  <si>
    <t>Ekuitas</t>
  </si>
  <si>
    <t xml:space="preserve">    Modal Saham</t>
  </si>
  <si>
    <t xml:space="preserve">    Tambahan Modal Disetor</t>
  </si>
  <si>
    <t xml:space="preserve">    Saldo Laba</t>
  </si>
  <si>
    <t xml:space="preserve">        Telah Ditentukan Penggunaannya</t>
  </si>
  <si>
    <t xml:space="preserve">        Belum Ditentukan Penggunaannya</t>
  </si>
  <si>
    <t xml:space="preserve">        Total Saldo Laba</t>
  </si>
  <si>
    <t xml:space="preserve">    Adjustment</t>
  </si>
  <si>
    <t xml:space="preserve">    Kepentingan Non Pengendali</t>
  </si>
  <si>
    <t xml:space="preserve">    Ekuitas Lainnya (Others)</t>
  </si>
  <si>
    <t xml:space="preserve">    TOTAL EKUITAS</t>
  </si>
  <si>
    <t>TOTAL LIABILITAS DAN EKUITAS</t>
  </si>
  <si>
    <t>Saham Beredar (Miliar Lembar)</t>
  </si>
  <si>
    <t>Cek Keseimbangan (Total Aset - Total Liabilitas &amp; Ekuitas)</t>
  </si>
  <si>
    <t>BALANCE SHEET - PT Rukun Raharja Tbk (RAJA)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</si>
</sst>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#,##0&quot; B&quot;;\(#,##0\)&quot; B&quot;;\-"/>
  </numFmts>
  <fonts count="13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i/>
      <sz val="10"/>
      <color rgb="FF1F2937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i/>
      <sz val="9"/>
      <color rgb="FFB00000"/>
      <name val="Arial"/>
      <family val="2"/>
    </font>
    <font>
      <i/>
      <sz val="9"/>
      <color rgb="FFB00000"/>
      <name val="Arial"/>
      <family val="2"/>
    </font>
    <font>
      <b/>
      <sz val="9"/>
      <name val="Arial"/>
      <family val="2"/>
    </font>
    <font>
      <i/>
      <sz val="8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74151"/>
        <bgColor rgb="FF1F2937"/>
      </patternFill>
    </fill>
    <fill>
      <patternFill patternType="solid">
        <fgColor rgb="FFF2F4F6"/>
        <bgColor rgb="FFE8ECEF"/>
      </patternFill>
    </fill>
    <fill>
      <patternFill patternType="solid">
        <fgColor rgb="FFE8ECEF"/>
        <bgColor rgb="FFF2F4F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5" fillId="4" borderId="1" xfId="0" applyFont="1" applyFill="1" applyBorder="1"/>
    <xf numFmtId="0" fontId="6" fillId="0" borderId="0" xfId="0" applyFont="1"/>
    <xf numFmtId="0" fontId="8" fillId="5" borderId="0" xfId="0" applyFont="1" applyFill="1"/>
    <xf numFmtId="0" fontId="9" fillId="0" borderId="0" xfId="0" applyFont="1"/>
    <xf numFmtId="164" fontId="10" fillId="0" borderId="1" xfId="0" applyNumberFormat="1" applyFont="1" applyBorder="1"/>
    <xf numFmtId="0" fontId="11" fillId="0" borderId="0" xfId="0" applyFont="1"/>
    <xf numFmtId="0" fontId="12" fillId="0" borderId="0" xfId="0" applyFont="1"/>
    <xf numFmtId="165" fontId="0" fillId="4" borderId="1" xfId="0" applyNumberFormat="1" applyFill="1" applyBorder="1"/>
    <xf numFmtId="165" fontId="7" fillId="0" borderId="1" xfId="0" applyNumberFormat="1" applyFont="1" applyBorder="1"/>
    <xf numFmtId="165" fontId="8" fillId="5" borderId="1" xfId="0" applyNumberFormat="1" applyFont="1" applyFill="1" applyBorder="1"/>
    <xf numFmtId="165" fontId="0" fillId="0" borderId="0" xfId="0" applyNumberFormat="1"/>
    <xf numFmtId="0" fontId="1" fillId="0" borderId="0" xfId="0" applyFont="1"/>
    <xf numFmtId="0" fontId="2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4F6"/>
      <rgbColor rgb="FFE8EC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K1"/>
    </sheetView>
  </sheetViews>
  <sheetFormatPr baseColWidth="10" defaultColWidth="8.6640625" defaultRowHeight="15" x14ac:dyDescent="0.2"/>
  <cols>
    <col min="1" max="1" width="48" customWidth="1"/>
    <col min="2" max="11" width="12" customWidth="1"/>
  </cols>
  <sheetData>
    <row r="1" spans="1:11" ht="18" x14ac:dyDescent="0.2">
      <c r="A1" s="14" t="s">
        <v>72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 spans="1:11" x14ac:dyDescent="0.2">
      <c r="A5" s="16" t="s">
        <v>11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 x14ac:dyDescent="0.2">
      <c r="A6" s="3" t="s">
        <v>12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3" t="s">
        <v>13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4" t="s">
        <v>14</v>
      </c>
      <c r="B8" s="11">
        <v>174</v>
      </c>
      <c r="C8" s="11">
        <v>174</v>
      </c>
      <c r="D8" s="11">
        <v>290</v>
      </c>
      <c r="E8" s="11">
        <v>304</v>
      </c>
      <c r="F8" s="11">
        <v>547</v>
      </c>
      <c r="G8" s="11">
        <v>555</v>
      </c>
      <c r="H8" s="11">
        <v>469</v>
      </c>
      <c r="I8" s="11">
        <v>538</v>
      </c>
      <c r="J8" s="11">
        <v>717</v>
      </c>
      <c r="K8" s="11">
        <v>1519</v>
      </c>
    </row>
    <row r="9" spans="1:11" x14ac:dyDescent="0.2">
      <c r="A9" s="4" t="s">
        <v>15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4</v>
      </c>
      <c r="K9" s="11">
        <v>0</v>
      </c>
    </row>
    <row r="10" spans="1:11" x14ac:dyDescent="0.2">
      <c r="A10" s="5" t="s">
        <v>16</v>
      </c>
      <c r="B10" s="12">
        <v>174</v>
      </c>
      <c r="C10" s="12">
        <v>174</v>
      </c>
      <c r="D10" s="12">
        <v>290</v>
      </c>
      <c r="E10" s="12">
        <v>304</v>
      </c>
      <c r="F10" s="12">
        <v>547</v>
      </c>
      <c r="G10" s="12">
        <v>555</v>
      </c>
      <c r="H10" s="12">
        <v>469</v>
      </c>
      <c r="I10" s="12">
        <v>538</v>
      </c>
      <c r="J10" s="12">
        <v>717</v>
      </c>
      <c r="K10" s="12">
        <v>1519</v>
      </c>
    </row>
    <row r="11" spans="1:11" x14ac:dyDescent="0.2">
      <c r="A11" s="3" t="s">
        <v>17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4" t="s">
        <v>18</v>
      </c>
      <c r="B12" s="11">
        <v>6</v>
      </c>
      <c r="C12" s="11">
        <v>5</v>
      </c>
      <c r="D12" s="11">
        <v>7</v>
      </c>
      <c r="E12" s="11">
        <v>1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83</v>
      </c>
    </row>
    <row r="13" spans="1:11" x14ac:dyDescent="0.2">
      <c r="A13" s="4" t="s">
        <v>15</v>
      </c>
      <c r="B13" s="11">
        <v>119</v>
      </c>
      <c r="C13" s="11">
        <v>258</v>
      </c>
      <c r="D13" s="11">
        <v>200</v>
      </c>
      <c r="E13" s="11">
        <v>213</v>
      </c>
      <c r="F13" s="11">
        <v>150</v>
      </c>
      <c r="G13" s="11">
        <v>175</v>
      </c>
      <c r="H13" s="11">
        <v>255</v>
      </c>
      <c r="I13" s="11">
        <v>471</v>
      </c>
      <c r="J13" s="11">
        <v>542</v>
      </c>
      <c r="K13" s="11">
        <v>469</v>
      </c>
    </row>
    <row r="14" spans="1:11" x14ac:dyDescent="0.2">
      <c r="A14" s="5" t="s">
        <v>19</v>
      </c>
      <c r="B14" s="12">
        <v>125</v>
      </c>
      <c r="C14" s="12">
        <v>262</v>
      </c>
      <c r="D14" s="12">
        <v>207</v>
      </c>
      <c r="E14" s="12">
        <v>214</v>
      </c>
      <c r="F14" s="12">
        <v>150</v>
      </c>
      <c r="G14" s="12">
        <v>175</v>
      </c>
      <c r="H14" s="12">
        <v>255</v>
      </c>
      <c r="I14" s="12">
        <v>471</v>
      </c>
      <c r="J14" s="12">
        <v>542</v>
      </c>
      <c r="K14" s="12">
        <v>551</v>
      </c>
    </row>
    <row r="15" spans="1:11" x14ac:dyDescent="0.2">
      <c r="A15" s="3" t="s">
        <v>20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4" t="s">
        <v>18</v>
      </c>
      <c r="B16" s="11">
        <v>8</v>
      </c>
      <c r="C16" s="11">
        <v>7</v>
      </c>
      <c r="D16" s="11">
        <v>282</v>
      </c>
      <c r="E16" s="11">
        <v>258</v>
      </c>
      <c r="F16" s="11">
        <v>22</v>
      </c>
      <c r="G16" s="11">
        <v>6</v>
      </c>
      <c r="H16" s="11">
        <v>5</v>
      </c>
      <c r="I16" s="11">
        <v>94</v>
      </c>
      <c r="J16" s="11">
        <v>68</v>
      </c>
      <c r="K16" s="11">
        <v>3</v>
      </c>
    </row>
    <row r="17" spans="1:11" x14ac:dyDescent="0.2">
      <c r="A17" s="4" t="s">
        <v>15</v>
      </c>
      <c r="B17" s="11">
        <v>41</v>
      </c>
      <c r="C17" s="11">
        <v>80</v>
      </c>
      <c r="D17" s="11">
        <v>78</v>
      </c>
      <c r="E17" s="11">
        <v>108</v>
      </c>
      <c r="F17" s="11">
        <v>72</v>
      </c>
      <c r="G17" s="11">
        <v>77</v>
      </c>
      <c r="H17" s="11">
        <v>64</v>
      </c>
      <c r="I17" s="11">
        <v>59</v>
      </c>
      <c r="J17" s="11">
        <v>43</v>
      </c>
      <c r="K17" s="11">
        <v>95</v>
      </c>
    </row>
    <row r="18" spans="1:11" x14ac:dyDescent="0.2">
      <c r="A18" s="5" t="s">
        <v>21</v>
      </c>
      <c r="B18" s="12">
        <v>49</v>
      </c>
      <c r="C18" s="12">
        <v>88</v>
      </c>
      <c r="D18" s="12">
        <v>360</v>
      </c>
      <c r="E18" s="12">
        <v>367</v>
      </c>
      <c r="F18" s="12">
        <v>94</v>
      </c>
      <c r="G18" s="12">
        <v>82</v>
      </c>
      <c r="H18" s="12">
        <v>69</v>
      </c>
      <c r="I18" s="12">
        <v>153</v>
      </c>
      <c r="J18" s="12">
        <v>111</v>
      </c>
      <c r="K18" s="12">
        <v>97</v>
      </c>
    </row>
    <row r="19" spans="1:11" x14ac:dyDescent="0.2">
      <c r="A19" s="4" t="s">
        <v>22</v>
      </c>
      <c r="B19" s="11">
        <v>52</v>
      </c>
      <c r="C19" s="11">
        <v>99</v>
      </c>
      <c r="D19" s="11">
        <v>2</v>
      </c>
      <c r="E19" s="11">
        <v>2</v>
      </c>
      <c r="F19" s="11">
        <v>4</v>
      </c>
      <c r="G19" s="11">
        <v>7</v>
      </c>
      <c r="H19" s="11">
        <v>12</v>
      </c>
      <c r="I19" s="11">
        <v>11</v>
      </c>
      <c r="J19" s="11">
        <v>9</v>
      </c>
      <c r="K19" s="11">
        <v>11</v>
      </c>
    </row>
    <row r="20" spans="1:11" x14ac:dyDescent="0.2">
      <c r="A20" s="4" t="s">
        <v>23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10</v>
      </c>
    </row>
    <row r="21" spans="1:11" x14ac:dyDescent="0.2">
      <c r="A21" s="4" t="s">
        <v>24</v>
      </c>
      <c r="B21" s="11">
        <v>40</v>
      </c>
      <c r="C21" s="11">
        <v>47</v>
      </c>
      <c r="D21" s="11">
        <v>109</v>
      </c>
      <c r="E21" s="11">
        <v>98</v>
      </c>
      <c r="F21" s="11">
        <v>71</v>
      </c>
      <c r="G21" s="11">
        <v>133</v>
      </c>
      <c r="H21" s="11">
        <v>109</v>
      </c>
      <c r="I21" s="11">
        <v>69</v>
      </c>
      <c r="J21" s="11">
        <v>88</v>
      </c>
      <c r="K21" s="11">
        <v>112</v>
      </c>
    </row>
    <row r="22" spans="1:11" x14ac:dyDescent="0.2">
      <c r="A22" s="5" t="s">
        <v>25</v>
      </c>
      <c r="B22" s="12">
        <v>440</v>
      </c>
      <c r="C22" s="12">
        <v>671</v>
      </c>
      <c r="D22" s="12">
        <v>968</v>
      </c>
      <c r="E22" s="12">
        <v>984</v>
      </c>
      <c r="F22" s="12">
        <v>868</v>
      </c>
      <c r="G22" s="12">
        <v>953</v>
      </c>
      <c r="H22" s="12">
        <v>914</v>
      </c>
      <c r="I22" s="12">
        <v>1243</v>
      </c>
      <c r="J22" s="12">
        <v>1467</v>
      </c>
      <c r="K22" s="12">
        <v>2301</v>
      </c>
    </row>
    <row r="23" spans="1:11" x14ac:dyDescent="0.2"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2">
      <c r="A24" s="5" t="s">
        <v>26</v>
      </c>
      <c r="B24" s="12">
        <v>1511</v>
      </c>
      <c r="C24" s="12">
        <v>1368</v>
      </c>
      <c r="D24" s="12">
        <v>1799</v>
      </c>
      <c r="E24" s="12">
        <v>1524</v>
      </c>
      <c r="F24" s="12">
        <v>1483</v>
      </c>
      <c r="G24" s="12">
        <v>2554</v>
      </c>
      <c r="H24" s="12">
        <v>3148</v>
      </c>
      <c r="I24" s="12">
        <v>3831</v>
      </c>
      <c r="J24" s="12">
        <v>3886</v>
      </c>
      <c r="K24" s="12">
        <v>5685</v>
      </c>
    </row>
    <row r="25" spans="1:11" x14ac:dyDescent="0.2"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x14ac:dyDescent="0.2">
      <c r="A26" s="5" t="s">
        <v>27</v>
      </c>
      <c r="B26" s="12">
        <v>1951</v>
      </c>
      <c r="C26" s="12">
        <v>2039</v>
      </c>
      <c r="D26" s="12">
        <v>2767</v>
      </c>
      <c r="E26" s="12">
        <v>2508</v>
      </c>
      <c r="F26" s="12">
        <v>2351</v>
      </c>
      <c r="G26" s="12">
        <v>3506</v>
      </c>
      <c r="H26" s="12">
        <v>4062</v>
      </c>
      <c r="I26" s="12">
        <v>5074</v>
      </c>
      <c r="J26" s="12">
        <v>5354</v>
      </c>
      <c r="K26" s="12">
        <v>7986</v>
      </c>
    </row>
    <row r="27" spans="1:1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x14ac:dyDescent="0.2">
      <c r="A28" s="16" t="s">
        <v>28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 x14ac:dyDescent="0.2">
      <c r="A29" s="3" t="s">
        <v>29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">
      <c r="A30" s="3" t="s">
        <v>30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">
      <c r="A31" s="4" t="s">
        <v>31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15</v>
      </c>
      <c r="H31" s="11">
        <v>0</v>
      </c>
      <c r="I31" s="11">
        <v>30</v>
      </c>
      <c r="J31" s="11">
        <v>27</v>
      </c>
      <c r="K31" s="11">
        <v>125</v>
      </c>
    </row>
    <row r="32" spans="1:11" x14ac:dyDescent="0.2">
      <c r="A32" s="3" t="s">
        <v>32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2">
      <c r="A33" s="4" t="s">
        <v>33</v>
      </c>
      <c r="B33" s="11">
        <v>65</v>
      </c>
      <c r="C33" s="11">
        <v>123</v>
      </c>
      <c r="D33" s="11">
        <v>114</v>
      </c>
      <c r="E33" s="11">
        <v>125</v>
      </c>
      <c r="F33" s="11">
        <v>105</v>
      </c>
      <c r="G33" s="11">
        <v>109</v>
      </c>
      <c r="H33" s="11">
        <v>168</v>
      </c>
      <c r="I33" s="11">
        <v>295</v>
      </c>
      <c r="J33" s="11">
        <v>299</v>
      </c>
      <c r="K33" s="11">
        <v>440</v>
      </c>
    </row>
    <row r="34" spans="1:11" x14ac:dyDescent="0.2">
      <c r="A34" s="4" t="s">
        <v>34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</row>
    <row r="35" spans="1:11" x14ac:dyDescent="0.2">
      <c r="A35" s="5" t="s">
        <v>35</v>
      </c>
      <c r="B35" s="12">
        <v>65</v>
      </c>
      <c r="C35" s="12">
        <v>123</v>
      </c>
      <c r="D35" s="12">
        <v>114</v>
      </c>
      <c r="E35" s="12">
        <v>125</v>
      </c>
      <c r="F35" s="12">
        <v>105</v>
      </c>
      <c r="G35" s="12">
        <v>109</v>
      </c>
      <c r="H35" s="12">
        <v>168</v>
      </c>
      <c r="I35" s="12">
        <v>295</v>
      </c>
      <c r="J35" s="12">
        <v>299</v>
      </c>
      <c r="K35" s="12">
        <v>440</v>
      </c>
    </row>
    <row r="36" spans="1:11" x14ac:dyDescent="0.2">
      <c r="A36" s="4" t="s">
        <v>36</v>
      </c>
      <c r="B36" s="11">
        <v>12</v>
      </c>
      <c r="C36" s="11">
        <v>34</v>
      </c>
      <c r="D36" s="11">
        <v>38</v>
      </c>
      <c r="E36" s="11">
        <v>17</v>
      </c>
      <c r="F36" s="11">
        <v>24</v>
      </c>
      <c r="G36" s="11">
        <v>22</v>
      </c>
      <c r="H36" s="11">
        <v>31</v>
      </c>
      <c r="I36" s="11">
        <v>62</v>
      </c>
      <c r="J36" s="11">
        <v>79</v>
      </c>
      <c r="K36" s="11">
        <v>78</v>
      </c>
    </row>
    <row r="37" spans="1:11" x14ac:dyDescent="0.2">
      <c r="A37" s="3" t="s">
        <v>37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4" t="s">
        <v>34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2</v>
      </c>
      <c r="H38" s="11">
        <v>0</v>
      </c>
      <c r="I38" s="11">
        <v>8</v>
      </c>
      <c r="J38" s="11">
        <v>9</v>
      </c>
      <c r="K38" s="11">
        <v>1</v>
      </c>
    </row>
    <row r="39" spans="1:11" x14ac:dyDescent="0.2">
      <c r="A39" s="4" t="s">
        <v>33</v>
      </c>
      <c r="B39" s="11">
        <v>7</v>
      </c>
      <c r="C39" s="11">
        <v>3</v>
      </c>
      <c r="D39" s="11">
        <v>4</v>
      </c>
      <c r="E39" s="11">
        <v>11</v>
      </c>
      <c r="F39" s="11">
        <v>15</v>
      </c>
      <c r="G39" s="11">
        <v>12</v>
      </c>
      <c r="H39" s="11">
        <v>8</v>
      </c>
      <c r="I39" s="11">
        <v>19</v>
      </c>
      <c r="J39" s="11">
        <v>8</v>
      </c>
      <c r="K39" s="11">
        <v>11</v>
      </c>
    </row>
    <row r="40" spans="1:11" x14ac:dyDescent="0.2">
      <c r="A40" s="5" t="s">
        <v>38</v>
      </c>
      <c r="B40" s="12">
        <v>7</v>
      </c>
      <c r="C40" s="12">
        <v>3</v>
      </c>
      <c r="D40" s="12">
        <v>4</v>
      </c>
      <c r="E40" s="12">
        <v>11</v>
      </c>
      <c r="F40" s="12">
        <v>15</v>
      </c>
      <c r="G40" s="12">
        <v>14</v>
      </c>
      <c r="H40" s="12">
        <v>8</v>
      </c>
      <c r="I40" s="12">
        <v>27</v>
      </c>
      <c r="J40" s="12">
        <v>17</v>
      </c>
      <c r="K40" s="12">
        <v>13</v>
      </c>
    </row>
    <row r="41" spans="1:11" x14ac:dyDescent="0.2">
      <c r="A41" s="4" t="s">
        <v>39</v>
      </c>
      <c r="B41" s="11">
        <v>3</v>
      </c>
      <c r="C41" s="11">
        <v>3</v>
      </c>
      <c r="D41" s="11">
        <v>2</v>
      </c>
      <c r="E41" s="11">
        <v>2</v>
      </c>
      <c r="F41" s="11">
        <v>3</v>
      </c>
      <c r="G41" s="11">
        <v>6</v>
      </c>
      <c r="H41" s="11">
        <v>12</v>
      </c>
      <c r="I41" s="11">
        <v>36</v>
      </c>
      <c r="J41" s="11">
        <v>80</v>
      </c>
      <c r="K41" s="11">
        <v>144</v>
      </c>
    </row>
    <row r="42" spans="1:11" x14ac:dyDescent="0.2">
      <c r="A42" s="4" t="s">
        <v>40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</row>
    <row r="43" spans="1:11" x14ac:dyDescent="0.2">
      <c r="A43" s="3" t="s">
        <v>41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2">
      <c r="A44" s="4" t="s">
        <v>42</v>
      </c>
      <c r="B44" s="11">
        <v>207</v>
      </c>
      <c r="C44" s="11">
        <v>102</v>
      </c>
      <c r="D44" s="11">
        <v>94</v>
      </c>
      <c r="E44" s="11">
        <v>167</v>
      </c>
      <c r="F44" s="11">
        <v>155</v>
      </c>
      <c r="G44" s="11">
        <v>110</v>
      </c>
      <c r="H44" s="11">
        <v>183</v>
      </c>
      <c r="I44" s="11">
        <v>400</v>
      </c>
      <c r="J44" s="11">
        <v>350</v>
      </c>
      <c r="K44" s="11">
        <v>582</v>
      </c>
    </row>
    <row r="45" spans="1:11" x14ac:dyDescent="0.2">
      <c r="A45" s="4" t="s">
        <v>43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5</v>
      </c>
      <c r="I45" s="11">
        <v>2</v>
      </c>
      <c r="J45" s="11">
        <v>2</v>
      </c>
      <c r="K45" s="11">
        <v>0</v>
      </c>
    </row>
    <row r="46" spans="1:11" x14ac:dyDescent="0.2">
      <c r="A46" s="4" t="s">
        <v>44</v>
      </c>
      <c r="B46" s="11">
        <v>1</v>
      </c>
      <c r="C46" s="11">
        <v>2</v>
      </c>
      <c r="D46" s="11">
        <v>3</v>
      </c>
      <c r="E46" s="11">
        <v>1</v>
      </c>
      <c r="F46" s="11">
        <v>1</v>
      </c>
      <c r="G46" s="11">
        <v>1</v>
      </c>
      <c r="H46" s="11">
        <v>3</v>
      </c>
      <c r="I46" s="11">
        <v>7</v>
      </c>
      <c r="J46" s="11">
        <v>11</v>
      </c>
      <c r="K46" s="11">
        <v>15</v>
      </c>
    </row>
    <row r="47" spans="1:11" x14ac:dyDescent="0.2">
      <c r="A47" s="4" t="s">
        <v>45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1</v>
      </c>
      <c r="H47" s="11">
        <v>5</v>
      </c>
      <c r="I47" s="11">
        <v>3</v>
      </c>
      <c r="J47" s="11">
        <v>9</v>
      </c>
      <c r="K47" s="11">
        <v>10</v>
      </c>
    </row>
    <row r="48" spans="1:11" x14ac:dyDescent="0.2">
      <c r="A48" s="5" t="s">
        <v>46</v>
      </c>
      <c r="B48" s="12">
        <v>208</v>
      </c>
      <c r="C48" s="12">
        <v>104</v>
      </c>
      <c r="D48" s="12">
        <v>97</v>
      </c>
      <c r="E48" s="12">
        <v>168</v>
      </c>
      <c r="F48" s="12">
        <v>156</v>
      </c>
      <c r="G48" s="12">
        <v>111</v>
      </c>
      <c r="H48" s="12">
        <v>196</v>
      </c>
      <c r="I48" s="12">
        <v>412</v>
      </c>
      <c r="J48" s="12">
        <v>372</v>
      </c>
      <c r="K48" s="12">
        <v>607</v>
      </c>
    </row>
    <row r="49" spans="1:11" x14ac:dyDescent="0.2">
      <c r="A49" s="4" t="s">
        <v>47</v>
      </c>
      <c r="B49" s="11">
        <v>9</v>
      </c>
      <c r="C49" s="11">
        <v>26</v>
      </c>
      <c r="D49" s="11">
        <v>4</v>
      </c>
      <c r="E49" s="11">
        <v>5</v>
      </c>
      <c r="F49" s="11">
        <v>6</v>
      </c>
      <c r="G49" s="11">
        <v>5</v>
      </c>
      <c r="H49" s="11">
        <v>6</v>
      </c>
      <c r="I49" s="11">
        <v>8</v>
      </c>
      <c r="J49" s="11">
        <v>70</v>
      </c>
      <c r="K49" s="11">
        <v>187</v>
      </c>
    </row>
    <row r="50" spans="1:11" x14ac:dyDescent="0.2">
      <c r="A50" s="5" t="s">
        <v>48</v>
      </c>
      <c r="B50" s="12">
        <v>303</v>
      </c>
      <c r="C50" s="12">
        <v>294</v>
      </c>
      <c r="D50" s="12">
        <v>258</v>
      </c>
      <c r="E50" s="12">
        <v>327</v>
      </c>
      <c r="F50" s="12">
        <v>308</v>
      </c>
      <c r="G50" s="12">
        <v>281</v>
      </c>
      <c r="H50" s="12">
        <v>421</v>
      </c>
      <c r="I50" s="12">
        <v>870</v>
      </c>
      <c r="J50" s="12">
        <v>944</v>
      </c>
      <c r="K50" s="12">
        <v>1594</v>
      </c>
    </row>
    <row r="51" spans="1:1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 x14ac:dyDescent="0.2">
      <c r="A52" s="3" t="s">
        <v>49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x14ac:dyDescent="0.2">
      <c r="A53" s="4" t="s">
        <v>50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</row>
    <row r="54" spans="1:11" x14ac:dyDescent="0.2">
      <c r="A54" s="3" t="s">
        <v>51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1" x14ac:dyDescent="0.2">
      <c r="A55" s="4" t="s">
        <v>42</v>
      </c>
      <c r="B55" s="11">
        <v>395</v>
      </c>
      <c r="C55" s="11">
        <v>93</v>
      </c>
      <c r="D55" s="11">
        <v>579</v>
      </c>
      <c r="E55" s="11">
        <v>452</v>
      </c>
      <c r="F55" s="11">
        <v>278</v>
      </c>
      <c r="G55" s="11">
        <v>1409</v>
      </c>
      <c r="H55" s="11">
        <v>1526</v>
      </c>
      <c r="I55" s="11">
        <v>1648</v>
      </c>
      <c r="J55" s="11">
        <v>1437</v>
      </c>
      <c r="K55" s="11">
        <v>1809</v>
      </c>
    </row>
    <row r="56" spans="1:11" x14ac:dyDescent="0.2">
      <c r="A56" s="4" t="s">
        <v>43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8</v>
      </c>
      <c r="I56" s="11">
        <v>0</v>
      </c>
      <c r="J56" s="11">
        <v>1</v>
      </c>
      <c r="K56" s="11">
        <v>0</v>
      </c>
    </row>
    <row r="57" spans="1:11" x14ac:dyDescent="0.2">
      <c r="A57" s="4" t="s">
        <v>44</v>
      </c>
      <c r="B57" s="11">
        <v>1</v>
      </c>
      <c r="C57" s="11">
        <v>3</v>
      </c>
      <c r="D57" s="11">
        <v>3</v>
      </c>
      <c r="E57" s="11">
        <v>2</v>
      </c>
      <c r="F57" s="11">
        <v>5</v>
      </c>
      <c r="G57" s="11">
        <v>2</v>
      </c>
      <c r="H57" s="11">
        <v>8</v>
      </c>
      <c r="I57" s="11">
        <v>13</v>
      </c>
      <c r="J57" s="11">
        <v>20</v>
      </c>
      <c r="K57" s="11">
        <v>16</v>
      </c>
    </row>
    <row r="58" spans="1:11" x14ac:dyDescent="0.2">
      <c r="A58" s="4" t="s">
        <v>45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5</v>
      </c>
      <c r="H58" s="11">
        <v>5</v>
      </c>
      <c r="I58" s="11">
        <v>4</v>
      </c>
      <c r="J58" s="11">
        <v>6</v>
      </c>
      <c r="K58" s="11">
        <v>10</v>
      </c>
    </row>
    <row r="59" spans="1:11" x14ac:dyDescent="0.2">
      <c r="A59" s="5" t="s">
        <v>52</v>
      </c>
      <c r="B59" s="12">
        <v>396</v>
      </c>
      <c r="C59" s="12">
        <v>96</v>
      </c>
      <c r="D59" s="12">
        <v>582</v>
      </c>
      <c r="E59" s="12">
        <v>454</v>
      </c>
      <c r="F59" s="12">
        <v>283</v>
      </c>
      <c r="G59" s="12">
        <v>1416</v>
      </c>
      <c r="H59" s="12">
        <v>1546</v>
      </c>
      <c r="I59" s="12">
        <v>1664</v>
      </c>
      <c r="J59" s="12">
        <v>1464</v>
      </c>
      <c r="K59" s="12">
        <v>1835</v>
      </c>
    </row>
    <row r="60" spans="1:11" x14ac:dyDescent="0.2">
      <c r="A60" s="4" t="s">
        <v>53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</row>
    <row r="61" spans="1:11" x14ac:dyDescent="0.2">
      <c r="A61" s="4" t="s">
        <v>54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</row>
    <row r="62" spans="1:11" x14ac:dyDescent="0.2">
      <c r="A62" s="4" t="s">
        <v>55</v>
      </c>
      <c r="B62" s="11">
        <v>23</v>
      </c>
      <c r="C62" s="11">
        <v>21</v>
      </c>
      <c r="D62" s="11">
        <v>19</v>
      </c>
      <c r="E62" s="11">
        <v>22</v>
      </c>
      <c r="F62" s="11">
        <v>22</v>
      </c>
      <c r="G62" s="11">
        <v>23</v>
      </c>
      <c r="H62" s="11">
        <v>20</v>
      </c>
      <c r="I62" s="11">
        <v>154</v>
      </c>
      <c r="J62" s="11">
        <v>169</v>
      </c>
      <c r="K62" s="11">
        <v>278</v>
      </c>
    </row>
    <row r="63" spans="1:11" x14ac:dyDescent="0.2">
      <c r="A63" s="5" t="s">
        <v>56</v>
      </c>
      <c r="B63" s="12">
        <v>419</v>
      </c>
      <c r="C63" s="12">
        <v>117</v>
      </c>
      <c r="D63" s="12">
        <v>601</v>
      </c>
      <c r="E63" s="12">
        <v>476</v>
      </c>
      <c r="F63" s="12">
        <v>305</v>
      </c>
      <c r="G63" s="12">
        <v>1439</v>
      </c>
      <c r="H63" s="12">
        <v>1566</v>
      </c>
      <c r="I63" s="12">
        <v>1818</v>
      </c>
      <c r="J63" s="12">
        <v>1633</v>
      </c>
      <c r="K63" s="12">
        <v>2113</v>
      </c>
    </row>
    <row r="64" spans="1:11" x14ac:dyDescent="0.2"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spans="1:11" x14ac:dyDescent="0.2">
      <c r="A65" s="5" t="s">
        <v>57</v>
      </c>
      <c r="B65" s="12">
        <v>722</v>
      </c>
      <c r="C65" s="12">
        <v>410</v>
      </c>
      <c r="D65" s="12">
        <v>859</v>
      </c>
      <c r="E65" s="12">
        <v>803</v>
      </c>
      <c r="F65" s="12">
        <v>612</v>
      </c>
      <c r="G65" s="12">
        <v>1720</v>
      </c>
      <c r="H65" s="12">
        <v>1987</v>
      </c>
      <c r="I65" s="12">
        <v>2688</v>
      </c>
      <c r="J65" s="12">
        <v>2577</v>
      </c>
      <c r="K65" s="12">
        <v>3707</v>
      </c>
    </row>
    <row r="66" spans="1:11" x14ac:dyDescent="0.2"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spans="1:11" x14ac:dyDescent="0.2">
      <c r="A67" s="3" t="s">
        <v>58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1" x14ac:dyDescent="0.2">
      <c r="A68" s="4" t="s">
        <v>59</v>
      </c>
      <c r="B68" s="11">
        <v>142</v>
      </c>
      <c r="C68" s="11">
        <v>143</v>
      </c>
      <c r="D68" s="11">
        <v>159</v>
      </c>
      <c r="E68" s="11">
        <v>152</v>
      </c>
      <c r="F68" s="11">
        <v>155</v>
      </c>
      <c r="G68" s="11">
        <v>157</v>
      </c>
      <c r="H68" s="11">
        <v>171</v>
      </c>
      <c r="I68" s="11">
        <v>169</v>
      </c>
      <c r="J68" s="11">
        <v>177</v>
      </c>
      <c r="K68" s="11">
        <v>183</v>
      </c>
    </row>
    <row r="69" spans="1:11" x14ac:dyDescent="0.2">
      <c r="A69" s="4" t="s">
        <v>60</v>
      </c>
      <c r="B69" s="11">
        <v>286</v>
      </c>
      <c r="C69" s="11">
        <v>288</v>
      </c>
      <c r="D69" s="11">
        <v>336</v>
      </c>
      <c r="E69" s="11">
        <v>323</v>
      </c>
      <c r="F69" s="11">
        <v>327</v>
      </c>
      <c r="G69" s="11">
        <v>331</v>
      </c>
      <c r="H69" s="11">
        <v>362</v>
      </c>
      <c r="I69" s="11">
        <v>359</v>
      </c>
      <c r="J69" s="11">
        <v>375</v>
      </c>
      <c r="K69" s="11">
        <v>538</v>
      </c>
    </row>
    <row r="70" spans="1:11" x14ac:dyDescent="0.2">
      <c r="A70" s="3" t="s">
        <v>61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spans="1:11" x14ac:dyDescent="0.2">
      <c r="A71" s="4" t="s">
        <v>62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1</v>
      </c>
      <c r="K71" s="11">
        <v>3</v>
      </c>
    </row>
    <row r="72" spans="1:11" x14ac:dyDescent="0.2">
      <c r="A72" s="4" t="s">
        <v>63</v>
      </c>
      <c r="B72" s="11">
        <v>412</v>
      </c>
      <c r="C72" s="11">
        <v>557</v>
      </c>
      <c r="D72" s="11">
        <v>740</v>
      </c>
      <c r="E72" s="11">
        <v>842</v>
      </c>
      <c r="F72" s="11">
        <v>852</v>
      </c>
      <c r="G72" s="11">
        <v>886</v>
      </c>
      <c r="H72" s="11">
        <v>1074</v>
      </c>
      <c r="I72" s="11">
        <v>1388</v>
      </c>
      <c r="J72" s="11">
        <v>1703</v>
      </c>
      <c r="K72" s="11">
        <v>1854</v>
      </c>
    </row>
    <row r="73" spans="1:11" x14ac:dyDescent="0.2">
      <c r="A73" s="5" t="s">
        <v>64</v>
      </c>
      <c r="B73" s="12">
        <v>412</v>
      </c>
      <c r="C73" s="12">
        <v>557</v>
      </c>
      <c r="D73" s="12">
        <v>740</v>
      </c>
      <c r="E73" s="12">
        <v>842</v>
      </c>
      <c r="F73" s="12">
        <v>852</v>
      </c>
      <c r="G73" s="12">
        <v>886</v>
      </c>
      <c r="H73" s="12">
        <v>1075</v>
      </c>
      <c r="I73" s="12">
        <v>1388</v>
      </c>
      <c r="J73" s="12">
        <v>1704</v>
      </c>
      <c r="K73" s="12">
        <v>1858</v>
      </c>
    </row>
    <row r="74" spans="1:11" x14ac:dyDescent="0.2">
      <c r="A74" s="4" t="s">
        <v>65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</row>
    <row r="75" spans="1:11" x14ac:dyDescent="0.2">
      <c r="A75" s="4" t="s">
        <v>66</v>
      </c>
      <c r="B75" s="11">
        <v>303</v>
      </c>
      <c r="C75" s="11">
        <v>554</v>
      </c>
      <c r="D75" s="11">
        <v>579</v>
      </c>
      <c r="E75" s="11">
        <v>299</v>
      </c>
      <c r="F75" s="11">
        <v>315</v>
      </c>
      <c r="G75" s="11">
        <v>333</v>
      </c>
      <c r="H75" s="11">
        <v>381</v>
      </c>
      <c r="I75" s="11">
        <v>385</v>
      </c>
      <c r="J75" s="11">
        <v>432</v>
      </c>
      <c r="K75" s="11">
        <v>716</v>
      </c>
    </row>
    <row r="76" spans="1:11" x14ac:dyDescent="0.2">
      <c r="A76" s="4" t="s">
        <v>67</v>
      </c>
      <c r="B76" s="11">
        <v>87</v>
      </c>
      <c r="C76" s="11">
        <v>86</v>
      </c>
      <c r="D76" s="11">
        <v>94</v>
      </c>
      <c r="E76" s="11">
        <v>89</v>
      </c>
      <c r="F76" s="11">
        <v>90</v>
      </c>
      <c r="G76" s="11">
        <v>79</v>
      </c>
      <c r="H76" s="11">
        <v>86</v>
      </c>
      <c r="I76" s="11">
        <v>85</v>
      </c>
      <c r="J76" s="11">
        <v>89</v>
      </c>
      <c r="K76" s="11">
        <v>985</v>
      </c>
    </row>
    <row r="77" spans="1:11" x14ac:dyDescent="0.2">
      <c r="A77" s="5" t="s">
        <v>68</v>
      </c>
      <c r="B77" s="12">
        <v>1229</v>
      </c>
      <c r="C77" s="12">
        <v>1629</v>
      </c>
      <c r="D77" s="12">
        <v>1908</v>
      </c>
      <c r="E77" s="12">
        <v>1706</v>
      </c>
      <c r="F77" s="12">
        <v>1738</v>
      </c>
      <c r="G77" s="12">
        <v>1786</v>
      </c>
      <c r="H77" s="12">
        <v>2075</v>
      </c>
      <c r="I77" s="12">
        <v>2386</v>
      </c>
      <c r="J77" s="12">
        <v>2777</v>
      </c>
      <c r="K77" s="12">
        <v>4279</v>
      </c>
    </row>
    <row r="78" spans="1:11" x14ac:dyDescent="0.2"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spans="1:11" x14ac:dyDescent="0.2">
      <c r="A79" s="5" t="s">
        <v>69</v>
      </c>
      <c r="B79" s="12">
        <v>1951</v>
      </c>
      <c r="C79" s="12">
        <v>2039</v>
      </c>
      <c r="D79" s="12">
        <v>2767</v>
      </c>
      <c r="E79" s="12">
        <v>2508</v>
      </c>
      <c r="F79" s="12">
        <v>2351</v>
      </c>
      <c r="G79" s="12">
        <v>3506</v>
      </c>
      <c r="H79" s="12">
        <v>4062</v>
      </c>
      <c r="I79" s="12">
        <v>5074</v>
      </c>
      <c r="J79" s="12">
        <v>5354</v>
      </c>
      <c r="K79" s="12">
        <v>7986</v>
      </c>
    </row>
    <row r="80" spans="1:11" x14ac:dyDescent="0.2"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spans="1:11" x14ac:dyDescent="0.2">
      <c r="A81" s="4" t="s">
        <v>70</v>
      </c>
      <c r="B81" s="11">
        <v>4</v>
      </c>
      <c r="C81" s="11">
        <v>4</v>
      </c>
      <c r="D81" s="11">
        <v>4</v>
      </c>
      <c r="E81" s="11">
        <v>4</v>
      </c>
      <c r="F81" s="11">
        <v>4</v>
      </c>
      <c r="G81" s="11">
        <v>4</v>
      </c>
      <c r="H81" s="11">
        <v>4</v>
      </c>
      <c r="I81" s="11">
        <v>4</v>
      </c>
      <c r="J81" s="11">
        <v>4</v>
      </c>
      <c r="K81" s="11">
        <v>4</v>
      </c>
    </row>
    <row r="83" spans="1:11" x14ac:dyDescent="0.2">
      <c r="A83" s="6" t="s">
        <v>71</v>
      </c>
      <c r="B83" s="7">
        <f t="shared" ref="B83:K83" si="0">B26-B79</f>
        <v>0</v>
      </c>
      <c r="C83" s="7">
        <f t="shared" si="0"/>
        <v>0</v>
      </c>
      <c r="D83" s="7">
        <f t="shared" si="0"/>
        <v>0</v>
      </c>
      <c r="E83" s="7">
        <f t="shared" si="0"/>
        <v>0</v>
      </c>
      <c r="F83" s="7">
        <f t="shared" si="0"/>
        <v>0</v>
      </c>
      <c r="G83" s="7">
        <f t="shared" si="0"/>
        <v>0</v>
      </c>
      <c r="H83" s="7">
        <f t="shared" si="0"/>
        <v>0</v>
      </c>
      <c r="I83" s="7">
        <f t="shared" si="0"/>
        <v>0</v>
      </c>
      <c r="J83" s="7">
        <f t="shared" si="0"/>
        <v>0</v>
      </c>
      <c r="K83" s="7">
        <f t="shared" si="0"/>
        <v>0</v>
      </c>
    </row>
    <row r="85" spans="1:11" x14ac:dyDescent="0.2">
      <c r="A85" s="8"/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</sheetData>
  <mergeCells count="4">
    <mergeCell ref="A1:K1"/>
    <mergeCell ref="A2:K2"/>
    <mergeCell ref="A5:K5"/>
    <mergeCell ref="A28:K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Melvin</cp:lastModifiedBy>
  <cp:revision>0</cp:revision>
  <dcterms:created xsi:type="dcterms:W3CDTF">2026-08-01T07:36:21Z</dcterms:created>
  <dcterms:modified xsi:type="dcterms:W3CDTF">2026-08-01T07:46:39Z</dcterms:modified>
  <dc:language>en-US</dc:language>
</cp:coreProperties>
</file>