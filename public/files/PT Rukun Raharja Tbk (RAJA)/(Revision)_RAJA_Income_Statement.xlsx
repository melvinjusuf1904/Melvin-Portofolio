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melvinjusuf/Downloads/portfolio-project/public/files/PT Rukun Raharja Tbk (RAJA)/"/>
    </mc:Choice>
  </mc:AlternateContent>
  <xr:revisionPtr revIDLastSave="0" documentId="13_ncr:1_{D810FEFD-3D77-4949-92D7-E65C2D15F355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Income Statemen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C43" i="1"/>
  <c r="D43" i="1"/>
  <c r="E43" i="1"/>
  <c r="F43" i="1"/>
  <c r="G43" i="1"/>
  <c r="H43" i="1"/>
  <c r="I43" i="1"/>
  <c r="J43" i="1"/>
  <c r="D19" i="1"/>
  <c r="F19" i="1"/>
  <c r="G19" i="1"/>
  <c r="H19" i="1"/>
  <c r="I19" i="1"/>
  <c r="J19" i="1"/>
  <c r="B25" i="1"/>
  <c r="B27" i="1" s="1"/>
  <c r="C25" i="1"/>
  <c r="C27" i="1" s="1"/>
  <c r="D25" i="1"/>
  <c r="D27" i="1" s="1"/>
  <c r="E25" i="1"/>
  <c r="E27" i="1" s="1"/>
  <c r="F25" i="1"/>
  <c r="F27" i="1" s="1"/>
  <c r="G25" i="1"/>
  <c r="G27" i="1" s="1"/>
  <c r="H25" i="1"/>
  <c r="H27" i="1" s="1"/>
  <c r="I25" i="1"/>
  <c r="I27" i="1" s="1"/>
  <c r="J25" i="1"/>
  <c r="J27" i="1" s="1"/>
  <c r="B33" i="1"/>
  <c r="C33" i="1"/>
  <c r="D33" i="1"/>
  <c r="E33" i="1"/>
  <c r="F33" i="1"/>
  <c r="G33" i="1"/>
  <c r="H33" i="1"/>
  <c r="I33" i="1"/>
  <c r="J33" i="1"/>
  <c r="B38" i="1"/>
  <c r="C38" i="1"/>
  <c r="D38" i="1"/>
  <c r="E38" i="1"/>
  <c r="F38" i="1"/>
  <c r="G38" i="1"/>
  <c r="H38" i="1"/>
  <c r="I38" i="1"/>
  <c r="J38" i="1"/>
  <c r="K43" i="1"/>
  <c r="K19" i="1"/>
  <c r="K38" i="1"/>
  <c r="K33" i="1"/>
  <c r="K7" i="1"/>
  <c r="K9" i="1" s="1"/>
  <c r="J7" i="1"/>
  <c r="I7" i="1"/>
  <c r="I9" i="1" s="1"/>
  <c r="H7" i="1"/>
  <c r="G7" i="1"/>
  <c r="F7" i="1"/>
  <c r="E7" i="1"/>
  <c r="D7" i="1"/>
  <c r="C7" i="1"/>
  <c r="B7" i="1"/>
  <c r="B9" i="1" s="1"/>
  <c r="K20" i="1" l="1"/>
  <c r="I20" i="1"/>
  <c r="C9" i="1"/>
  <c r="K25" i="1"/>
  <c r="J9" i="1"/>
  <c r="J20" i="1" s="1"/>
  <c r="D9" i="1"/>
  <c r="D20" i="1" s="1"/>
  <c r="E9" i="1"/>
  <c r="F9" i="1"/>
  <c r="F20" i="1" s="1"/>
  <c r="G9" i="1"/>
  <c r="G20" i="1" s="1"/>
  <c r="H9" i="1"/>
  <c r="H20" i="1" s="1"/>
  <c r="K27" i="1" l="1"/>
  <c r="E19" i="1" l="1"/>
  <c r="E20" i="1" s="1"/>
  <c r="C19" i="1"/>
  <c r="C20" i="1" s="1"/>
  <c r="B19" i="1"/>
  <c r="B20" i="1" s="1"/>
</calcChain>
</file>

<file path=xl/sharedStrings.xml><?xml version="1.0" encoding="utf-8"?>
<sst xmlns="http://schemas.openxmlformats.org/spreadsheetml/2006/main" count="56" uniqueCount="45">
  <si>
    <t>Keterangan</t>
  </si>
  <si>
    <t>12M 2016</t>
  </si>
  <si>
    <t>12M 2017</t>
  </si>
  <si>
    <t>12M 2018</t>
  </si>
  <si>
    <t>12M 2019</t>
  </si>
  <si>
    <t>12M 2020</t>
  </si>
  <si>
    <t>12M 2021</t>
  </si>
  <si>
    <t>12M 2022</t>
  </si>
  <si>
    <t>12M 2023</t>
  </si>
  <si>
    <t>12M 2024</t>
  </si>
  <si>
    <t>12M 2025</t>
  </si>
  <si>
    <t>Total Pendapatan</t>
  </si>
  <si>
    <t>Total Beban Pokok Penjualan</t>
  </si>
  <si>
    <t>Laba Kotor</t>
  </si>
  <si>
    <t>Total Beban Usaha</t>
  </si>
  <si>
    <t>Laba Usaha (Operating Profit)</t>
  </si>
  <si>
    <t>Penghasilan/(Beban) Lain-Lain</t>
  </si>
  <si>
    <t xml:space="preserve">    Beban Keuangan</t>
  </si>
  <si>
    <t xml:space="preserve">    Pendapatan Keuangan</t>
  </si>
  <si>
    <t xml:space="preserve">    Bagian Atas Hasil Bersih Entitas Asosiasi</t>
  </si>
  <si>
    <t>Total Penghasilan/(Beban) Lain-Lain</t>
  </si>
  <si>
    <t>Laba Sebelum Pajak</t>
  </si>
  <si>
    <t>Beban Pajak Penghasilan</t>
  </si>
  <si>
    <t>Laba Bersih Dari Operasi Yang Dilanjutkan</t>
  </si>
  <si>
    <t>Laba Bersih Tahun Berjalan</t>
  </si>
  <si>
    <t>Pendapatan Komprehensif Lain</t>
  </si>
  <si>
    <t>Jumlah Laba Komprehensif</t>
  </si>
  <si>
    <t>Laba Bersih Yang Dapat Diatribusikan Kepada:</t>
  </si>
  <si>
    <t xml:space="preserve">    Pemilik Entitas Induk</t>
  </si>
  <si>
    <t xml:space="preserve">    Kepentingan Non-Pengendali</t>
  </si>
  <si>
    <t>Total Laba Bersih Yang Dapat Diatribusikan</t>
  </si>
  <si>
    <t>Laba Komprehensif Yang Dapat Diatribusikan Kepada:</t>
  </si>
  <si>
    <t>Total Laba Komprehensif Yang Dapat Diatribusikan</t>
  </si>
  <si>
    <t>-</t>
  </si>
  <si>
    <t xml:space="preserve">    Laba (Rugi) Selisih Kurs</t>
  </si>
  <si>
    <t>INCOME STATEMENT - RAJA</t>
  </si>
  <si>
    <t xml:space="preserve">    Adjustment</t>
  </si>
  <si>
    <t xml:space="preserve">    Others</t>
  </si>
  <si>
    <t>Hak Minoritas</t>
  </si>
  <si>
    <t>Laba Pra Akuisisi</t>
  </si>
  <si>
    <t xml:space="preserve">    Laba (Rugi) Atas Penjualan Aset Tetap</t>
  </si>
  <si>
    <t xml:space="preserve">    Laba Pra Akuisisi</t>
  </si>
  <si>
    <t>Share Outstanding</t>
  </si>
  <si>
    <t>EPS (Annual)</t>
  </si>
  <si>
    <t>Key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</si>
</sst>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#,##0;\(#,##0\);\-m"/>
    <numFmt numFmtId="166" formatCode="#,##0.00;\(#,##0.00\);\-m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i/>
      <sz val="8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8ECEF"/>
        <bgColor rgb="FFFFFFF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164" fontId="6" fillId="0" borderId="1" xfId="0" applyNumberFormat="1" applyFont="1" applyBorder="1"/>
    <xf numFmtId="0" fontId="7" fillId="3" borderId="0" xfId="0" applyFont="1" applyFill="1"/>
    <xf numFmtId="164" fontId="7" fillId="3" borderId="1" xfId="0" applyNumberFormat="1" applyFont="1" applyFill="1" applyBorder="1"/>
    <xf numFmtId="0" fontId="8" fillId="0" borderId="0" xfId="0" applyFont="1"/>
    <xf numFmtId="0" fontId="10" fillId="0" borderId="0" xfId="0" applyFont="1"/>
    <xf numFmtId="165" fontId="6" fillId="0" borderId="1" xfId="0" applyNumberFormat="1" applyFont="1" applyBorder="1"/>
    <xf numFmtId="0" fontId="1" fillId="0" borderId="0" xfId="0" applyFont="1"/>
    <xf numFmtId="164" fontId="6" fillId="0" borderId="2" xfId="0" applyNumberFormat="1" applyFont="1" applyBorder="1"/>
    <xf numFmtId="0" fontId="0" fillId="0" borderId="3" xfId="0" applyBorder="1"/>
    <xf numFmtId="164" fontId="6" fillId="0" borderId="4" xfId="0" applyNumberFormat="1" applyFont="1" applyBorder="1"/>
    <xf numFmtId="166" fontId="6" fillId="0" borderId="1" xfId="0" applyNumberFormat="1" applyFont="1" applyBorder="1"/>
    <xf numFmtId="2" fontId="5" fillId="0" borderId="1" xfId="0" applyNumberFormat="1" applyFont="1" applyBorder="1"/>
    <xf numFmtId="164" fontId="7" fillId="3" borderId="5" xfId="0" applyNumberFormat="1" applyFont="1" applyFill="1" applyBorder="1"/>
    <xf numFmtId="0" fontId="2" fillId="0" borderId="0" xfId="0" applyFont="1"/>
    <xf numFmtId="0" fontId="3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42" customWidth="1"/>
    <col min="2" max="11" width="13" customWidth="1"/>
  </cols>
  <sheetData>
    <row r="1" spans="1:11" ht="18" x14ac:dyDescent="0.2">
      <c r="A1" s="17" t="s">
        <v>35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x14ac:dyDescent="0.2">
      <c r="A5" s="3" t="s">
        <v>11</v>
      </c>
      <c r="B5" s="4">
        <v>2487</v>
      </c>
      <c r="C5" s="4">
        <v>1993</v>
      </c>
      <c r="D5" s="4">
        <v>1683</v>
      </c>
      <c r="E5" s="4">
        <v>1728</v>
      </c>
      <c r="F5" s="4">
        <v>1440</v>
      </c>
      <c r="G5" s="4">
        <v>1405</v>
      </c>
      <c r="H5" s="4">
        <v>1885</v>
      </c>
      <c r="I5" s="4">
        <v>3108</v>
      </c>
      <c r="J5" s="4">
        <v>4033</v>
      </c>
      <c r="K5" s="9">
        <v>4394</v>
      </c>
    </row>
    <row r="6" spans="1:11" x14ac:dyDescent="0.2">
      <c r="A6" s="3" t="s">
        <v>12</v>
      </c>
      <c r="B6" s="4">
        <v>-2165</v>
      </c>
      <c r="C6" s="4">
        <v>-1665</v>
      </c>
      <c r="D6" s="4">
        <v>-1391</v>
      </c>
      <c r="E6" s="4">
        <v>-1486</v>
      </c>
      <c r="F6" s="4">
        <v>-1205</v>
      </c>
      <c r="G6" s="4">
        <v>-1184</v>
      </c>
      <c r="H6" s="4">
        <v>-1512</v>
      </c>
      <c r="I6" s="4">
        <v>-2102</v>
      </c>
      <c r="J6" s="4">
        <v>-2936</v>
      </c>
      <c r="K6" s="4">
        <v>-3205</v>
      </c>
    </row>
    <row r="7" spans="1:11" x14ac:dyDescent="0.2">
      <c r="A7" s="5" t="s">
        <v>13</v>
      </c>
      <c r="B7" s="6">
        <f t="shared" ref="B7:K7" si="0">B5+B6</f>
        <v>322</v>
      </c>
      <c r="C7" s="6">
        <f t="shared" si="0"/>
        <v>328</v>
      </c>
      <c r="D7" s="6">
        <f t="shared" si="0"/>
        <v>292</v>
      </c>
      <c r="E7" s="6">
        <f t="shared" si="0"/>
        <v>242</v>
      </c>
      <c r="F7" s="6">
        <f t="shared" si="0"/>
        <v>235</v>
      </c>
      <c r="G7" s="6">
        <f t="shared" si="0"/>
        <v>221</v>
      </c>
      <c r="H7" s="6">
        <f t="shared" si="0"/>
        <v>373</v>
      </c>
      <c r="I7" s="6">
        <f t="shared" si="0"/>
        <v>1006</v>
      </c>
      <c r="J7" s="6">
        <f t="shared" si="0"/>
        <v>1097</v>
      </c>
      <c r="K7" s="6">
        <f t="shared" si="0"/>
        <v>1189</v>
      </c>
    </row>
    <row r="8" spans="1:11" x14ac:dyDescent="0.2">
      <c r="A8" s="3" t="s">
        <v>14</v>
      </c>
      <c r="B8" s="4">
        <v>-168</v>
      </c>
      <c r="C8" s="4">
        <v>-302</v>
      </c>
      <c r="D8" s="4">
        <v>-204</v>
      </c>
      <c r="E8" s="4">
        <v>-202</v>
      </c>
      <c r="F8" s="4">
        <v>-152</v>
      </c>
      <c r="G8" s="4">
        <v>-155</v>
      </c>
      <c r="H8" s="4">
        <v>-189</v>
      </c>
      <c r="I8" s="4">
        <v>-273</v>
      </c>
      <c r="J8" s="4">
        <v>-315</v>
      </c>
      <c r="K8" s="4">
        <v>-417</v>
      </c>
    </row>
    <row r="9" spans="1:11" x14ac:dyDescent="0.2">
      <c r="A9" s="5" t="s">
        <v>15</v>
      </c>
      <c r="B9" s="16">
        <f t="shared" ref="B9:K9" si="1">B7+B8</f>
        <v>154</v>
      </c>
      <c r="C9" s="6">
        <f t="shared" si="1"/>
        <v>26</v>
      </c>
      <c r="D9" s="6">
        <f t="shared" si="1"/>
        <v>88</v>
      </c>
      <c r="E9" s="6">
        <f t="shared" si="1"/>
        <v>40</v>
      </c>
      <c r="F9" s="6">
        <f t="shared" si="1"/>
        <v>83</v>
      </c>
      <c r="G9" s="6">
        <f t="shared" si="1"/>
        <v>66</v>
      </c>
      <c r="H9" s="6">
        <f t="shared" si="1"/>
        <v>184</v>
      </c>
      <c r="I9" s="6">
        <f t="shared" si="1"/>
        <v>733</v>
      </c>
      <c r="J9" s="6">
        <f t="shared" si="1"/>
        <v>782</v>
      </c>
      <c r="K9" s="6">
        <f t="shared" si="1"/>
        <v>772</v>
      </c>
    </row>
    <row r="10" spans="1:11" x14ac:dyDescent="0.2">
      <c r="B10" s="12"/>
    </row>
    <row r="11" spans="1:11" x14ac:dyDescent="0.2">
      <c r="A11" s="7" t="s">
        <v>16</v>
      </c>
    </row>
    <row r="12" spans="1:11" x14ac:dyDescent="0.2">
      <c r="A12" s="10" t="s">
        <v>34</v>
      </c>
      <c r="B12" s="13">
        <v>-2</v>
      </c>
      <c r="C12" s="13">
        <v>0</v>
      </c>
      <c r="D12" s="13">
        <v>0</v>
      </c>
      <c r="E12" s="13">
        <v>15</v>
      </c>
      <c r="F12" s="13">
        <v>-7</v>
      </c>
      <c r="G12" s="13">
        <v>1</v>
      </c>
      <c r="H12" s="13">
        <v>-31</v>
      </c>
      <c r="I12" s="13">
        <v>5</v>
      </c>
      <c r="J12" s="13">
        <v>-5</v>
      </c>
      <c r="K12" s="13">
        <v>-37</v>
      </c>
    </row>
    <row r="13" spans="1:11" x14ac:dyDescent="0.2">
      <c r="A13" s="10" t="s">
        <v>18</v>
      </c>
      <c r="B13" s="11">
        <v>0</v>
      </c>
      <c r="C13" s="11">
        <v>0</v>
      </c>
      <c r="D13" s="13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</row>
    <row r="14" spans="1:11" x14ac:dyDescent="0.2">
      <c r="A14" s="3" t="s">
        <v>17</v>
      </c>
      <c r="B14" s="11">
        <v>-52</v>
      </c>
      <c r="C14" s="11">
        <v>-74</v>
      </c>
      <c r="D14" s="13">
        <v>-94</v>
      </c>
      <c r="E14" s="11">
        <v>-47</v>
      </c>
      <c r="F14" s="11">
        <v>-44</v>
      </c>
      <c r="G14" s="11">
        <v>-35</v>
      </c>
      <c r="H14" s="11">
        <v>-40</v>
      </c>
      <c r="I14" s="11">
        <v>-141</v>
      </c>
      <c r="J14" s="11">
        <v>-164</v>
      </c>
      <c r="K14" s="11">
        <v>-166</v>
      </c>
    </row>
    <row r="15" spans="1:11" x14ac:dyDescent="0.2">
      <c r="A15" s="3" t="s">
        <v>19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44</v>
      </c>
      <c r="H15" s="4">
        <v>104</v>
      </c>
      <c r="I15" s="4">
        <v>114</v>
      </c>
      <c r="J15" s="4">
        <v>98</v>
      </c>
      <c r="K15" s="4">
        <v>325</v>
      </c>
    </row>
    <row r="16" spans="1:11" x14ac:dyDescent="0.2">
      <c r="A16" s="10" t="s">
        <v>40</v>
      </c>
      <c r="B16" s="4">
        <v>0</v>
      </c>
      <c r="C16" s="4">
        <v>301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">
      <c r="A17" s="10" t="s">
        <v>36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</row>
    <row r="18" spans="1:11" x14ac:dyDescent="0.2">
      <c r="A18" s="10" t="s">
        <v>37</v>
      </c>
      <c r="B18" s="4">
        <v>44</v>
      </c>
      <c r="C18" s="4">
        <v>-8</v>
      </c>
      <c r="D18" s="4">
        <v>220</v>
      </c>
      <c r="E18" s="4">
        <v>120</v>
      </c>
      <c r="F18" s="4">
        <v>34</v>
      </c>
      <c r="G18" s="4">
        <v>-9</v>
      </c>
      <c r="H18" s="4">
        <v>-22</v>
      </c>
      <c r="I18" s="4">
        <v>-90</v>
      </c>
      <c r="J18" s="4">
        <v>-11</v>
      </c>
      <c r="K18" s="4">
        <v>-78</v>
      </c>
    </row>
    <row r="19" spans="1:11" x14ac:dyDescent="0.2">
      <c r="A19" s="5" t="s">
        <v>20</v>
      </c>
      <c r="B19" s="6">
        <f t="shared" ref="B19:J19" si="2">SUM(B12:B18)</f>
        <v>-10</v>
      </c>
      <c r="C19" s="6">
        <f t="shared" si="2"/>
        <v>219</v>
      </c>
      <c r="D19" s="6">
        <f t="shared" si="2"/>
        <v>126</v>
      </c>
      <c r="E19" s="6">
        <f t="shared" si="2"/>
        <v>88</v>
      </c>
      <c r="F19" s="6">
        <f t="shared" si="2"/>
        <v>-17</v>
      </c>
      <c r="G19" s="6">
        <f t="shared" si="2"/>
        <v>1</v>
      </c>
      <c r="H19" s="6">
        <f t="shared" si="2"/>
        <v>11</v>
      </c>
      <c r="I19" s="6">
        <f t="shared" si="2"/>
        <v>-112</v>
      </c>
      <c r="J19" s="6">
        <f t="shared" si="2"/>
        <v>-82</v>
      </c>
      <c r="K19" s="6">
        <f>SUM(K12:K18)</f>
        <v>44</v>
      </c>
    </row>
    <row r="20" spans="1:11" x14ac:dyDescent="0.2">
      <c r="A20" s="5" t="s">
        <v>21</v>
      </c>
      <c r="B20" s="6">
        <f t="shared" ref="B20" si="3">B9+B19</f>
        <v>144</v>
      </c>
      <c r="C20" s="6">
        <f t="shared" ref="C20" si="4">C9+C19</f>
        <v>245</v>
      </c>
      <c r="D20" s="6">
        <f t="shared" ref="D20" si="5">D9+D19</f>
        <v>214</v>
      </c>
      <c r="E20" s="6">
        <f t="shared" ref="E20" si="6">E9+E19</f>
        <v>128</v>
      </c>
      <c r="F20" s="6">
        <f t="shared" ref="F20" si="7">F9+F19</f>
        <v>66</v>
      </c>
      <c r="G20" s="6">
        <f t="shared" ref="G20" si="8">G9+G19</f>
        <v>67</v>
      </c>
      <c r="H20" s="6">
        <f t="shared" ref="H20" si="9">H9+H19</f>
        <v>195</v>
      </c>
      <c r="I20" s="6">
        <f t="shared" ref="I20" si="10">I9+I19</f>
        <v>621</v>
      </c>
      <c r="J20" s="6">
        <f t="shared" ref="J20" si="11">J9+J19</f>
        <v>700</v>
      </c>
      <c r="K20" s="6">
        <f t="shared" ref="K20" si="12">K9+K19</f>
        <v>816</v>
      </c>
    </row>
    <row r="21" spans="1:11" x14ac:dyDescent="0.2">
      <c r="A21" s="3" t="s">
        <v>22</v>
      </c>
      <c r="B21" s="4">
        <v>-42</v>
      </c>
      <c r="C21" s="4">
        <v>-60</v>
      </c>
      <c r="D21" s="4">
        <v>-38</v>
      </c>
      <c r="E21" s="4">
        <v>-38</v>
      </c>
      <c r="F21" s="4">
        <v>-29</v>
      </c>
      <c r="G21" s="4">
        <v>-18</v>
      </c>
      <c r="H21" s="4">
        <v>-32</v>
      </c>
      <c r="I21" s="4">
        <v>-206</v>
      </c>
      <c r="J21" s="4">
        <v>-240</v>
      </c>
      <c r="K21" s="4">
        <v>-239</v>
      </c>
    </row>
    <row r="22" spans="1:11" x14ac:dyDescent="0.2">
      <c r="A22" s="3" t="s">
        <v>23</v>
      </c>
      <c r="B22" s="4">
        <v>103</v>
      </c>
      <c r="C22" s="4">
        <v>185</v>
      </c>
      <c r="D22" s="4">
        <v>177</v>
      </c>
      <c r="E22" s="4">
        <v>90</v>
      </c>
      <c r="F22" s="4">
        <v>37</v>
      </c>
      <c r="G22" s="4">
        <v>49</v>
      </c>
      <c r="H22" s="4">
        <v>161</v>
      </c>
      <c r="I22" s="4">
        <v>414</v>
      </c>
      <c r="J22" s="4">
        <v>461</v>
      </c>
      <c r="K22" s="4">
        <v>577</v>
      </c>
    </row>
    <row r="23" spans="1:11" x14ac:dyDescent="0.2">
      <c r="A23" s="10" t="s">
        <v>38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x14ac:dyDescent="0.2">
      <c r="A24" s="10" t="s">
        <v>39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2">
      <c r="A25" s="5" t="s">
        <v>24</v>
      </c>
      <c r="B25" s="6">
        <f t="shared" ref="B25" si="13">B22+B24</f>
        <v>103</v>
      </c>
      <c r="C25" s="6">
        <f t="shared" ref="C25" si="14">C22+C24</f>
        <v>185</v>
      </c>
      <c r="D25" s="6">
        <f t="shared" ref="D25" si="15">D22+D24</f>
        <v>177</v>
      </c>
      <c r="E25" s="6">
        <f t="shared" ref="E25" si="16">E22+E24</f>
        <v>90</v>
      </c>
      <c r="F25" s="6">
        <f t="shared" ref="F25" si="17">F22+F24</f>
        <v>37</v>
      </c>
      <c r="G25" s="6">
        <f t="shared" ref="G25" si="18">G22+G24</f>
        <v>49</v>
      </c>
      <c r="H25" s="6">
        <f t="shared" ref="H25" si="19">H22+H24</f>
        <v>161</v>
      </c>
      <c r="I25" s="6">
        <f t="shared" ref="I25" si="20">I22+I24</f>
        <v>414</v>
      </c>
      <c r="J25" s="6">
        <f t="shared" ref="J25" si="21">J22+J24</f>
        <v>461</v>
      </c>
      <c r="K25" s="6">
        <f t="shared" ref="K25" si="22">K22+K24</f>
        <v>577</v>
      </c>
    </row>
    <row r="26" spans="1:11" x14ac:dyDescent="0.2">
      <c r="A26" s="3" t="s">
        <v>25</v>
      </c>
      <c r="B26" s="4">
        <v>3</v>
      </c>
      <c r="C26" s="4">
        <v>8</v>
      </c>
      <c r="D26" s="4">
        <v>2</v>
      </c>
      <c r="E26" s="4">
        <v>-2</v>
      </c>
      <c r="F26" s="4">
        <v>-1</v>
      </c>
      <c r="G26" s="4">
        <v>2</v>
      </c>
      <c r="H26" s="4">
        <v>0</v>
      </c>
      <c r="I26" s="4">
        <v>-2</v>
      </c>
      <c r="J26" s="4">
        <v>0</v>
      </c>
      <c r="K26" s="4">
        <v>-23</v>
      </c>
    </row>
    <row r="27" spans="1:11" x14ac:dyDescent="0.2">
      <c r="A27" s="5" t="s">
        <v>26</v>
      </c>
      <c r="B27" s="6">
        <f t="shared" ref="B27" si="23">B25+B26</f>
        <v>106</v>
      </c>
      <c r="C27" s="6">
        <f t="shared" ref="C27" si="24">C25+C26</f>
        <v>193</v>
      </c>
      <c r="D27" s="6">
        <f t="shared" ref="D27" si="25">D25+D26</f>
        <v>179</v>
      </c>
      <c r="E27" s="6">
        <f t="shared" ref="E27" si="26">E25+E26</f>
        <v>88</v>
      </c>
      <c r="F27" s="6">
        <f t="shared" ref="F27" si="27">F25+F26</f>
        <v>36</v>
      </c>
      <c r="G27" s="6">
        <f t="shared" ref="G27" si="28">G25+G26</f>
        <v>51</v>
      </c>
      <c r="H27" s="6">
        <f t="shared" ref="H27" si="29">H25+H26</f>
        <v>161</v>
      </c>
      <c r="I27" s="6">
        <f t="shared" ref="I27" si="30">I25+I26</f>
        <v>412</v>
      </c>
      <c r="J27" s="6">
        <f t="shared" ref="J27" si="31">J25+J26</f>
        <v>461</v>
      </c>
      <c r="K27" s="6">
        <f t="shared" ref="K27" si="32">K25+K26</f>
        <v>554</v>
      </c>
    </row>
    <row r="29" spans="1:11" x14ac:dyDescent="0.2">
      <c r="A29" s="7" t="s">
        <v>27</v>
      </c>
    </row>
    <row r="30" spans="1:11" x14ac:dyDescent="0.2">
      <c r="A30" s="3" t="s">
        <v>28</v>
      </c>
      <c r="B30" s="4">
        <v>87</v>
      </c>
      <c r="C30" s="4">
        <v>156</v>
      </c>
      <c r="D30" s="4">
        <v>163</v>
      </c>
      <c r="E30" s="4">
        <v>81</v>
      </c>
      <c r="F30" s="4">
        <v>20</v>
      </c>
      <c r="G30" s="4">
        <v>32</v>
      </c>
      <c r="H30" s="4">
        <v>131</v>
      </c>
      <c r="I30" s="4">
        <v>391</v>
      </c>
      <c r="J30" s="4">
        <v>405</v>
      </c>
      <c r="K30" s="4">
        <v>449</v>
      </c>
    </row>
    <row r="31" spans="1:11" x14ac:dyDescent="0.2">
      <c r="A31" s="3" t="s">
        <v>29</v>
      </c>
      <c r="B31" s="4">
        <v>16</v>
      </c>
      <c r="C31" s="4">
        <v>29</v>
      </c>
      <c r="D31" s="4">
        <v>14</v>
      </c>
      <c r="E31" s="4">
        <v>9</v>
      </c>
      <c r="F31" s="4">
        <v>17</v>
      </c>
      <c r="G31" s="4">
        <v>16</v>
      </c>
      <c r="H31" s="4">
        <v>30</v>
      </c>
      <c r="I31" s="4">
        <v>24</v>
      </c>
      <c r="J31" s="4">
        <v>56</v>
      </c>
      <c r="K31" s="4">
        <v>128</v>
      </c>
    </row>
    <row r="32" spans="1:11" x14ac:dyDescent="0.2">
      <c r="A32" s="10" t="s">
        <v>41</v>
      </c>
      <c r="B32" s="4" t="s">
        <v>33</v>
      </c>
      <c r="C32" s="4" t="s">
        <v>33</v>
      </c>
      <c r="D32" s="4" t="s">
        <v>33</v>
      </c>
      <c r="E32" s="4" t="s">
        <v>33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</row>
    <row r="33" spans="1:11" x14ac:dyDescent="0.2">
      <c r="A33" s="5" t="s">
        <v>30</v>
      </c>
      <c r="B33" s="6">
        <f t="shared" ref="B33" si="33">SUM(B30:B32)</f>
        <v>103</v>
      </c>
      <c r="C33" s="6">
        <f t="shared" ref="C33" si="34">SUM(C30:C32)</f>
        <v>185</v>
      </c>
      <c r="D33" s="6">
        <f t="shared" ref="D33" si="35">SUM(D30:D32)</f>
        <v>177</v>
      </c>
      <c r="E33" s="6">
        <f t="shared" ref="E33" si="36">SUM(E30:E32)</f>
        <v>90</v>
      </c>
      <c r="F33" s="6">
        <f t="shared" ref="F33" si="37">SUM(F30:F32)</f>
        <v>37</v>
      </c>
      <c r="G33" s="6">
        <f t="shared" ref="G33" si="38">SUM(G30:G32)</f>
        <v>48</v>
      </c>
      <c r="H33" s="6">
        <f t="shared" ref="H33" si="39">SUM(H30:H32)</f>
        <v>161</v>
      </c>
      <c r="I33" s="6">
        <f t="shared" ref="I33" si="40">SUM(I30:I32)</f>
        <v>415</v>
      </c>
      <c r="J33" s="6">
        <f t="shared" ref="J33" si="41">SUM(J30:J32)</f>
        <v>461</v>
      </c>
      <c r="K33" s="6">
        <f t="shared" ref="K33" si="42">SUM(K30:K32)</f>
        <v>577</v>
      </c>
    </row>
    <row r="35" spans="1:11" x14ac:dyDescent="0.2">
      <c r="A35" s="7" t="s">
        <v>31</v>
      </c>
    </row>
    <row r="36" spans="1:11" x14ac:dyDescent="0.2">
      <c r="A36" s="3" t="s">
        <v>28</v>
      </c>
      <c r="B36" s="4">
        <v>89</v>
      </c>
      <c r="C36" s="4">
        <v>161</v>
      </c>
      <c r="D36" s="4">
        <v>165</v>
      </c>
      <c r="E36" s="4">
        <v>79</v>
      </c>
      <c r="F36" s="4">
        <v>19</v>
      </c>
      <c r="G36" s="4">
        <v>34</v>
      </c>
      <c r="H36" s="4">
        <v>132</v>
      </c>
      <c r="I36" s="4">
        <v>389</v>
      </c>
      <c r="J36" s="4">
        <v>405</v>
      </c>
      <c r="K36" s="4">
        <v>427</v>
      </c>
    </row>
    <row r="37" spans="1:11" x14ac:dyDescent="0.2">
      <c r="A37" s="3" t="s">
        <v>29</v>
      </c>
      <c r="B37" s="4">
        <v>17</v>
      </c>
      <c r="C37" s="4">
        <v>31</v>
      </c>
      <c r="D37" s="4">
        <v>15</v>
      </c>
      <c r="E37" s="4">
        <v>9</v>
      </c>
      <c r="F37" s="4">
        <v>16</v>
      </c>
      <c r="G37" s="4">
        <v>17</v>
      </c>
      <c r="H37" s="4">
        <v>30</v>
      </c>
      <c r="I37" s="4">
        <v>23</v>
      </c>
      <c r="J37" s="4">
        <v>56</v>
      </c>
      <c r="K37" s="4">
        <v>127</v>
      </c>
    </row>
    <row r="38" spans="1:11" x14ac:dyDescent="0.2">
      <c r="A38" s="5" t="s">
        <v>32</v>
      </c>
      <c r="B38" s="6">
        <f t="shared" ref="B38" si="43">SUM(B36:B37)</f>
        <v>106</v>
      </c>
      <c r="C38" s="6">
        <f t="shared" ref="C38" si="44">SUM(C36:C37)</f>
        <v>192</v>
      </c>
      <c r="D38" s="6">
        <f t="shared" ref="D38" si="45">SUM(D36:D37)</f>
        <v>180</v>
      </c>
      <c r="E38" s="6">
        <f t="shared" ref="E38" si="46">SUM(E36:E37)</f>
        <v>88</v>
      </c>
      <c r="F38" s="6">
        <f t="shared" ref="F38" si="47">SUM(F36:F37)</f>
        <v>35</v>
      </c>
      <c r="G38" s="6">
        <f t="shared" ref="G38" si="48">SUM(G36:G37)</f>
        <v>51</v>
      </c>
      <c r="H38" s="6">
        <f t="shared" ref="H38" si="49">SUM(H36:H37)</f>
        <v>162</v>
      </c>
      <c r="I38" s="6">
        <f t="shared" ref="I38" si="50">SUM(I36:I37)</f>
        <v>412</v>
      </c>
      <c r="J38" s="6">
        <f t="shared" ref="J38" si="51">SUM(J36:J37)</f>
        <v>461</v>
      </c>
      <c r="K38" s="6">
        <f t="shared" ref="K38" si="52">SUM(K36:K37)</f>
        <v>554</v>
      </c>
    </row>
    <row r="41" spans="1:11" x14ac:dyDescent="0.2">
      <c r="A41" s="19" t="s">
        <v>44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2">
      <c r="A42" s="10" t="s">
        <v>42</v>
      </c>
      <c r="B42" s="14">
        <v>4.08</v>
      </c>
      <c r="C42" s="14">
        <v>4.08</v>
      </c>
      <c r="D42" s="14">
        <v>4.2300000000000004</v>
      </c>
      <c r="E42" s="14">
        <v>4.2300000000000004</v>
      </c>
      <c r="F42" s="14">
        <v>4.2300000000000004</v>
      </c>
      <c r="G42" s="14">
        <v>4.2300000000000004</v>
      </c>
      <c r="H42" s="14">
        <v>4.2300000000000004</v>
      </c>
      <c r="I42" s="14">
        <v>4.2300000000000004</v>
      </c>
      <c r="J42" s="14">
        <v>4.2300000000000004</v>
      </c>
      <c r="K42" s="14">
        <v>4.2300000000000004</v>
      </c>
    </row>
    <row r="43" spans="1:11" x14ac:dyDescent="0.2">
      <c r="A43" s="10" t="s">
        <v>43</v>
      </c>
      <c r="B43" s="15">
        <f t="shared" ref="B43:J43" si="53">B30/B42</f>
        <v>21.323529411764707</v>
      </c>
      <c r="C43" s="15">
        <f t="shared" si="53"/>
        <v>38.235294117647058</v>
      </c>
      <c r="D43" s="15">
        <f t="shared" si="53"/>
        <v>38.534278959810869</v>
      </c>
      <c r="E43" s="15">
        <f t="shared" si="53"/>
        <v>19.148936170212764</v>
      </c>
      <c r="F43" s="15">
        <f t="shared" si="53"/>
        <v>4.7281323877068555</v>
      </c>
      <c r="G43" s="15">
        <f t="shared" si="53"/>
        <v>7.5650118203309686</v>
      </c>
      <c r="H43" s="15">
        <f t="shared" si="53"/>
        <v>30.969267139479904</v>
      </c>
      <c r="I43" s="15">
        <f t="shared" si="53"/>
        <v>92.43498817966902</v>
      </c>
      <c r="J43" s="15">
        <f t="shared" si="53"/>
        <v>95.744680851063819</v>
      </c>
      <c r="K43" s="15">
        <f>K30/K42</f>
        <v>106.1465721040189</v>
      </c>
    </row>
    <row r="44" spans="1:11" x14ac:dyDescent="0.2">
      <c r="A44" s="8"/>
    </row>
    <row r="45" spans="1:11" x14ac:dyDescent="0.2">
      <c r="A45" s="8"/>
    </row>
  </sheetData>
  <mergeCells count="3">
    <mergeCell ref="A1:K1"/>
    <mergeCell ref="A2:K2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Melvin</cp:lastModifiedBy>
  <cp:revision>0</cp:revision>
  <dcterms:created xsi:type="dcterms:W3CDTF">2026-07-31T14:08:15Z</dcterms:created>
  <dcterms:modified xsi:type="dcterms:W3CDTF">2026-08-01T06:59:51Z</dcterms:modified>
  <dc:language>en-US</dc:language>
</cp:coreProperties>
</file>