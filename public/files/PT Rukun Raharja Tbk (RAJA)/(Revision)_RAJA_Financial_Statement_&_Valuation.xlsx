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portfolio-project/public/files/PT Rukun Raharja Tbk (RAJA)/"/>
    </mc:Choice>
  </mc:AlternateContent>
  <xr:revisionPtr revIDLastSave="0" documentId="13_ncr:1_{C96AF494-A075-584B-AA2D-687C8B040A93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Key Ratio" sheetId="1" r:id="rId1"/>
    <sheet name="Market Data" sheetId="2" r:id="rId2"/>
    <sheet name="Forecast" sheetId="3" r:id="rId3"/>
    <sheet name="Income Statement" sheetId="4" r:id="rId4"/>
    <sheet name="Balance Sheet" sheetId="5" r:id="rId5"/>
    <sheet name="Cash Flow" sheetId="6" r:id="rId6"/>
    <sheet name="DCF Valuation" sheetId="7" r:id="rId7"/>
    <sheet name="Relative Valuation" sheetId="8" r:id="rId8"/>
    <sheet name="Scenario Analysis" sheetId="9" r:id="rId9"/>
    <sheet name="Sensitivity Analysis" sheetId="10" r:id="rId10"/>
    <sheet name="Valuation Summary" sheetId="11" r:id="rId11"/>
    <sheet name="Dashboard" sheetId="12" r:id="rId1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12" l="1"/>
  <c r="J10" i="12"/>
  <c r="I10" i="12"/>
  <c r="H10" i="12"/>
  <c r="G10" i="12"/>
  <c r="F10" i="12"/>
  <c r="E10" i="12"/>
  <c r="D10" i="12"/>
  <c r="C10" i="12"/>
  <c r="B10" i="12"/>
  <c r="B9" i="11"/>
  <c r="B5" i="12" s="1"/>
  <c r="G7" i="10"/>
  <c r="F7" i="10"/>
  <c r="E7" i="10"/>
  <c r="D7" i="10"/>
  <c r="C7" i="10"/>
  <c r="D9" i="9"/>
  <c r="C9" i="9"/>
  <c r="B9" i="9"/>
  <c r="B32" i="8"/>
  <c r="I12" i="8"/>
  <c r="H12" i="8"/>
  <c r="G12" i="8"/>
  <c r="F12" i="8"/>
  <c r="E12" i="8"/>
  <c r="D12" i="8"/>
  <c r="C12" i="8"/>
  <c r="B12" i="8"/>
  <c r="B31" i="7"/>
  <c r="B29" i="7"/>
  <c r="B7" i="7"/>
  <c r="B8" i="7" s="1"/>
  <c r="K72" i="6"/>
  <c r="J72" i="6"/>
  <c r="I72" i="6"/>
  <c r="H72" i="6"/>
  <c r="G72" i="6"/>
  <c r="F72" i="6"/>
  <c r="E72" i="6"/>
  <c r="D72" i="6"/>
  <c r="C72" i="6"/>
  <c r="B72" i="6"/>
  <c r="K43" i="6"/>
  <c r="J43" i="6"/>
  <c r="I43" i="6"/>
  <c r="H43" i="6"/>
  <c r="G43" i="6"/>
  <c r="F43" i="6"/>
  <c r="E43" i="6"/>
  <c r="D43" i="6"/>
  <c r="C43" i="6"/>
  <c r="B43" i="6"/>
  <c r="K18" i="6"/>
  <c r="K76" i="6" s="1"/>
  <c r="K82" i="6" s="1"/>
  <c r="J18" i="6"/>
  <c r="J76" i="6" s="1"/>
  <c r="J82" i="6" s="1"/>
  <c r="I18" i="6"/>
  <c r="I76" i="6" s="1"/>
  <c r="I82" i="6" s="1"/>
  <c r="H18" i="6"/>
  <c r="H76" i="6" s="1"/>
  <c r="H82" i="6" s="1"/>
  <c r="G18" i="6"/>
  <c r="G76" i="6" s="1"/>
  <c r="G82" i="6" s="1"/>
  <c r="F18" i="6"/>
  <c r="F76" i="6" s="1"/>
  <c r="F82" i="6" s="1"/>
  <c r="E18" i="6"/>
  <c r="E76" i="6" s="1"/>
  <c r="E82" i="6" s="1"/>
  <c r="D18" i="6"/>
  <c r="D76" i="6" s="1"/>
  <c r="D82" i="6" s="1"/>
  <c r="C18" i="6"/>
  <c r="C76" i="6" s="1"/>
  <c r="C82" i="6" s="1"/>
  <c r="B18" i="6"/>
  <c r="B76" i="6" s="1"/>
  <c r="B82" i="6" s="1"/>
  <c r="K83" i="5"/>
  <c r="J83" i="5"/>
  <c r="I83" i="5"/>
  <c r="H83" i="5"/>
  <c r="G83" i="5"/>
  <c r="F83" i="5"/>
  <c r="E83" i="5"/>
  <c r="D83" i="5"/>
  <c r="C83" i="5"/>
  <c r="B83" i="5"/>
  <c r="K43" i="4"/>
  <c r="J43" i="4"/>
  <c r="I43" i="4"/>
  <c r="H43" i="4"/>
  <c r="G43" i="4"/>
  <c r="F43" i="4"/>
  <c r="E43" i="4"/>
  <c r="D43" i="4"/>
  <c r="C43" i="4"/>
  <c r="B43" i="4"/>
  <c r="K38" i="4"/>
  <c r="J38" i="4"/>
  <c r="I38" i="4"/>
  <c r="H38" i="4"/>
  <c r="G38" i="4"/>
  <c r="F38" i="4"/>
  <c r="E38" i="4"/>
  <c r="D38" i="4"/>
  <c r="C38" i="4"/>
  <c r="B38" i="4"/>
  <c r="K33" i="4"/>
  <c r="J33" i="4"/>
  <c r="I33" i="4"/>
  <c r="H33" i="4"/>
  <c r="G33" i="4"/>
  <c r="F33" i="4"/>
  <c r="E33" i="4"/>
  <c r="D33" i="4"/>
  <c r="C33" i="4"/>
  <c r="B33" i="4"/>
  <c r="K25" i="4"/>
  <c r="K27" i="4" s="1"/>
  <c r="J25" i="4"/>
  <c r="J27" i="4" s="1"/>
  <c r="I25" i="4"/>
  <c r="I27" i="4" s="1"/>
  <c r="H25" i="4"/>
  <c r="H27" i="4" s="1"/>
  <c r="G25" i="4"/>
  <c r="G27" i="4" s="1"/>
  <c r="F25" i="4"/>
  <c r="F27" i="4" s="1"/>
  <c r="E25" i="4"/>
  <c r="E27" i="4" s="1"/>
  <c r="D25" i="4"/>
  <c r="D27" i="4" s="1"/>
  <c r="C25" i="4"/>
  <c r="C27" i="4" s="1"/>
  <c r="B25" i="4"/>
  <c r="B27" i="4" s="1"/>
  <c r="K19" i="4"/>
  <c r="J19" i="4"/>
  <c r="I19" i="4"/>
  <c r="H19" i="4"/>
  <c r="G19" i="4"/>
  <c r="F19" i="4"/>
  <c r="E19" i="4"/>
  <c r="D19" i="4"/>
  <c r="C19" i="4"/>
  <c r="B19" i="4"/>
  <c r="K7" i="4"/>
  <c r="K9" i="4" s="1"/>
  <c r="J7" i="4"/>
  <c r="J9" i="4" s="1"/>
  <c r="I7" i="4"/>
  <c r="I9" i="4" s="1"/>
  <c r="H7" i="4"/>
  <c r="H9" i="4" s="1"/>
  <c r="G7" i="4"/>
  <c r="G9" i="4" s="1"/>
  <c r="G14" i="1" s="1"/>
  <c r="F7" i="4"/>
  <c r="F9" i="4" s="1"/>
  <c r="E7" i="4"/>
  <c r="E9" i="4" s="1"/>
  <c r="D7" i="4"/>
  <c r="D9" i="4" s="1"/>
  <c r="C7" i="4"/>
  <c r="C9" i="4" s="1"/>
  <c r="B7" i="4"/>
  <c r="B9" i="4" s="1"/>
  <c r="B20" i="4" s="1"/>
  <c r="B65" i="3"/>
  <c r="B63" i="3"/>
  <c r="B64" i="3" s="1"/>
  <c r="B66" i="3" s="1"/>
  <c r="B67" i="3" s="1"/>
  <c r="B68" i="3" s="1"/>
  <c r="B5" i="3" s="1"/>
  <c r="F18" i="3"/>
  <c r="E18" i="3"/>
  <c r="D18" i="3"/>
  <c r="C18" i="3"/>
  <c r="B18" i="3"/>
  <c r="B24" i="8" s="1"/>
  <c r="F17" i="3"/>
  <c r="E17" i="3"/>
  <c r="D17" i="3"/>
  <c r="C17" i="3"/>
  <c r="B17" i="3"/>
  <c r="F13" i="3"/>
  <c r="E13" i="3"/>
  <c r="D13" i="3"/>
  <c r="C13" i="3"/>
  <c r="B13" i="3"/>
  <c r="F12" i="3"/>
  <c r="E12" i="3"/>
  <c r="D12" i="3"/>
  <c r="C12" i="3"/>
  <c r="B12" i="3"/>
  <c r="B36" i="3" s="1"/>
  <c r="F11" i="3"/>
  <c r="E11" i="3"/>
  <c r="D11" i="3"/>
  <c r="C11" i="3"/>
  <c r="B11" i="3"/>
  <c r="E8" i="3"/>
  <c r="C8" i="3"/>
  <c r="F7" i="3"/>
  <c r="E7" i="3"/>
  <c r="D7" i="3"/>
  <c r="C7" i="3"/>
  <c r="B7" i="3"/>
  <c r="D7" i="9" s="1"/>
  <c r="F6" i="3"/>
  <c r="E6" i="3"/>
  <c r="D6" i="3"/>
  <c r="C6" i="3"/>
  <c r="B6" i="3"/>
  <c r="D6" i="9" s="1"/>
  <c r="F5" i="3"/>
  <c r="F8" i="3" s="1"/>
  <c r="E5" i="3"/>
  <c r="D5" i="3"/>
  <c r="D8" i="3" s="1"/>
  <c r="C5" i="3"/>
  <c r="K34" i="2"/>
  <c r="J34" i="2"/>
  <c r="I34" i="2"/>
  <c r="H34" i="2"/>
  <c r="G34" i="2"/>
  <c r="F34" i="2"/>
  <c r="E34" i="2"/>
  <c r="D34" i="2"/>
  <c r="C34" i="2"/>
  <c r="B34" i="2"/>
  <c r="K29" i="2"/>
  <c r="J29" i="2"/>
  <c r="I29" i="2"/>
  <c r="H29" i="2"/>
  <c r="G29" i="2"/>
  <c r="F29" i="2"/>
  <c r="E29" i="2"/>
  <c r="D29" i="2"/>
  <c r="C29" i="2"/>
  <c r="B29" i="2"/>
  <c r="E28" i="2"/>
  <c r="E27" i="2"/>
  <c r="E26" i="2"/>
  <c r="C11" i="2"/>
  <c r="K54" i="1"/>
  <c r="J54" i="1"/>
  <c r="I54" i="1"/>
  <c r="H54" i="1"/>
  <c r="G54" i="1"/>
  <c r="F54" i="1"/>
  <c r="E54" i="1"/>
  <c r="D54" i="1"/>
  <c r="C54" i="1"/>
  <c r="B54" i="1"/>
  <c r="K53" i="1"/>
  <c r="K55" i="1" s="1"/>
  <c r="K56" i="1" s="1"/>
  <c r="J53" i="1"/>
  <c r="J55" i="1" s="1"/>
  <c r="I53" i="1"/>
  <c r="F14" i="3" s="1"/>
  <c r="H53" i="1"/>
  <c r="H55" i="1" s="1"/>
  <c r="G53" i="1"/>
  <c r="G55" i="1" s="1"/>
  <c r="G56" i="1" s="1"/>
  <c r="F53" i="1"/>
  <c r="F55" i="1" s="1"/>
  <c r="F56" i="1" s="1"/>
  <c r="E53" i="1"/>
  <c r="E55" i="1" s="1"/>
  <c r="E56" i="1" s="1"/>
  <c r="D53" i="1"/>
  <c r="D55" i="1" s="1"/>
  <c r="D56" i="1" s="1"/>
  <c r="C53" i="1"/>
  <c r="C55" i="1" s="1"/>
  <c r="C56" i="1" s="1"/>
  <c r="B53" i="1"/>
  <c r="B55" i="1" s="1"/>
  <c r="K48" i="1"/>
  <c r="J48" i="1"/>
  <c r="I48" i="1"/>
  <c r="F16" i="3" s="1"/>
  <c r="H48" i="1"/>
  <c r="G48" i="1"/>
  <c r="F48" i="1"/>
  <c r="E48" i="1"/>
  <c r="D48" i="1"/>
  <c r="C48" i="1"/>
  <c r="B48" i="1"/>
  <c r="G46" i="1"/>
  <c r="G45" i="1"/>
  <c r="G44" i="1"/>
  <c r="K43" i="1"/>
  <c r="J43" i="1"/>
  <c r="I43" i="1"/>
  <c r="H43" i="1"/>
  <c r="G43" i="1"/>
  <c r="F43" i="1"/>
  <c r="E43" i="1"/>
  <c r="D43" i="1"/>
  <c r="C43" i="1"/>
  <c r="B43" i="1"/>
  <c r="K42" i="1"/>
  <c r="K46" i="1" s="1"/>
  <c r="J42" i="1"/>
  <c r="J46" i="1" s="1"/>
  <c r="I42" i="1"/>
  <c r="I46" i="1" s="1"/>
  <c r="H42" i="1"/>
  <c r="H46" i="1" s="1"/>
  <c r="G42" i="1"/>
  <c r="F42" i="1"/>
  <c r="F46" i="1" s="1"/>
  <c r="E42" i="1"/>
  <c r="E46" i="1" s="1"/>
  <c r="D42" i="1"/>
  <c r="D46" i="1" s="1"/>
  <c r="C42" i="1"/>
  <c r="C46" i="1" s="1"/>
  <c r="B42" i="1"/>
  <c r="B46" i="1" s="1"/>
  <c r="K41" i="1"/>
  <c r="K45" i="1" s="1"/>
  <c r="J41" i="1"/>
  <c r="J45" i="1" s="1"/>
  <c r="I41" i="1"/>
  <c r="I45" i="1" s="1"/>
  <c r="H41" i="1"/>
  <c r="H45" i="1" s="1"/>
  <c r="G41" i="1"/>
  <c r="F41" i="1"/>
  <c r="F45" i="1" s="1"/>
  <c r="E41" i="1"/>
  <c r="E45" i="1" s="1"/>
  <c r="D41" i="1"/>
  <c r="D45" i="1" s="1"/>
  <c r="C41" i="1"/>
  <c r="C45" i="1" s="1"/>
  <c r="B41" i="1"/>
  <c r="B45" i="1" s="1"/>
  <c r="K38" i="1"/>
  <c r="J38" i="1"/>
  <c r="I38" i="1"/>
  <c r="H38" i="1"/>
  <c r="G38" i="1"/>
  <c r="F38" i="1"/>
  <c r="E38" i="1"/>
  <c r="D38" i="1"/>
  <c r="C38" i="1"/>
  <c r="B38" i="1"/>
  <c r="B35" i="1"/>
  <c r="B34" i="1"/>
  <c r="K33" i="1"/>
  <c r="J33" i="1"/>
  <c r="I33" i="1"/>
  <c r="H33" i="1"/>
  <c r="G33" i="1"/>
  <c r="F33" i="1"/>
  <c r="E33" i="1"/>
  <c r="D33" i="1"/>
  <c r="C33" i="1"/>
  <c r="B33" i="1"/>
  <c r="K31" i="1"/>
  <c r="J31" i="1"/>
  <c r="I31" i="1"/>
  <c r="H31" i="1"/>
  <c r="G31" i="1"/>
  <c r="F31" i="1"/>
  <c r="E31" i="1"/>
  <c r="D31" i="1"/>
  <c r="C31" i="1"/>
  <c r="B31" i="1"/>
  <c r="K30" i="1"/>
  <c r="K50" i="1" s="1"/>
  <c r="J30" i="1"/>
  <c r="J50" i="1" s="1"/>
  <c r="I30" i="1"/>
  <c r="I50" i="1" s="1"/>
  <c r="H30" i="1"/>
  <c r="H50" i="1" s="1"/>
  <c r="G30" i="1"/>
  <c r="G50" i="1" s="1"/>
  <c r="F30" i="1"/>
  <c r="F50" i="1" s="1"/>
  <c r="E30" i="1"/>
  <c r="E50" i="1" s="1"/>
  <c r="D30" i="1"/>
  <c r="D50" i="1" s="1"/>
  <c r="C30" i="1"/>
  <c r="C50" i="1" s="1"/>
  <c r="B30" i="1"/>
  <c r="B50" i="1" s="1"/>
  <c r="K27" i="1"/>
  <c r="K49" i="1" s="1"/>
  <c r="J27" i="1"/>
  <c r="J49" i="1" s="1"/>
  <c r="I27" i="1"/>
  <c r="I49" i="1" s="1"/>
  <c r="H27" i="1"/>
  <c r="H49" i="1" s="1"/>
  <c r="G27" i="1"/>
  <c r="G49" i="1" s="1"/>
  <c r="F27" i="1"/>
  <c r="F49" i="1" s="1"/>
  <c r="E27" i="1"/>
  <c r="E49" i="1" s="1"/>
  <c r="D27" i="1"/>
  <c r="D49" i="1" s="1"/>
  <c r="C27" i="1"/>
  <c r="C49" i="1" s="1"/>
  <c r="B27" i="1"/>
  <c r="B49" i="1" s="1"/>
  <c r="K24" i="1"/>
  <c r="K35" i="1" s="1"/>
  <c r="J24" i="1"/>
  <c r="J35" i="1" s="1"/>
  <c r="I24" i="1"/>
  <c r="I35" i="1" s="1"/>
  <c r="H24" i="1"/>
  <c r="H35" i="1" s="1"/>
  <c r="G24" i="1"/>
  <c r="G34" i="1" s="1"/>
  <c r="F24" i="1"/>
  <c r="F35" i="1" s="1"/>
  <c r="E24" i="1"/>
  <c r="E35" i="1" s="1"/>
  <c r="D24" i="1"/>
  <c r="D35" i="1" s="1"/>
  <c r="C24" i="1"/>
  <c r="C35" i="1" s="1"/>
  <c r="B24" i="1"/>
  <c r="K23" i="1"/>
  <c r="K25" i="1" s="1"/>
  <c r="J23" i="1"/>
  <c r="J25" i="1" s="1"/>
  <c r="I23" i="1"/>
  <c r="I25" i="1" s="1"/>
  <c r="H23" i="1"/>
  <c r="H25" i="1" s="1"/>
  <c r="G23" i="1"/>
  <c r="G25" i="1" s="1"/>
  <c r="F23" i="1"/>
  <c r="F25" i="1" s="1"/>
  <c r="E23" i="1"/>
  <c r="E25" i="1" s="1"/>
  <c r="D23" i="1"/>
  <c r="D25" i="1" s="1"/>
  <c r="C23" i="1"/>
  <c r="C25" i="1" s="1"/>
  <c r="B23" i="1"/>
  <c r="B25" i="1" s="1"/>
  <c r="K19" i="1"/>
  <c r="J19" i="1"/>
  <c r="I19" i="1"/>
  <c r="H19" i="1"/>
  <c r="G19" i="1"/>
  <c r="F19" i="1"/>
  <c r="E19" i="1"/>
  <c r="D19" i="1"/>
  <c r="C19" i="1"/>
  <c r="B19" i="1"/>
  <c r="F18" i="1"/>
  <c r="F33" i="2" s="1"/>
  <c r="B18" i="1"/>
  <c r="B33" i="2" s="1"/>
  <c r="F17" i="1"/>
  <c r="B17" i="1"/>
  <c r="F14" i="1"/>
  <c r="I13" i="1"/>
  <c r="K12" i="1"/>
  <c r="J12" i="1"/>
  <c r="I12" i="1"/>
  <c r="H12" i="1"/>
  <c r="G12" i="1"/>
  <c r="F12" i="1"/>
  <c r="E12" i="1"/>
  <c r="D12" i="1"/>
  <c r="C12" i="1"/>
  <c r="B12" i="1"/>
  <c r="K11" i="1"/>
  <c r="J11" i="1"/>
  <c r="I11" i="1"/>
  <c r="H11" i="1"/>
  <c r="G11" i="1"/>
  <c r="F11" i="1"/>
  <c r="E11" i="1"/>
  <c r="D11" i="1"/>
  <c r="C11" i="1"/>
  <c r="B11" i="1"/>
  <c r="J7" i="1"/>
  <c r="J31" i="2" s="1"/>
  <c r="J8" i="1" s="1"/>
  <c r="H7" i="1"/>
  <c r="H31" i="2" s="1"/>
  <c r="H8" i="1" s="1"/>
  <c r="K6" i="1"/>
  <c r="K26" i="2" s="1"/>
  <c r="K27" i="2" s="1"/>
  <c r="J6" i="1"/>
  <c r="I6" i="1"/>
  <c r="I7" i="1" s="1"/>
  <c r="I31" i="2" s="1"/>
  <c r="I8" i="1" s="1"/>
  <c r="H6" i="1"/>
  <c r="G6" i="1"/>
  <c r="G26" i="2" s="1"/>
  <c r="G27" i="2" s="1"/>
  <c r="F6" i="1"/>
  <c r="F26" i="2" s="1"/>
  <c r="F27" i="2" s="1"/>
  <c r="E6" i="1"/>
  <c r="E18" i="1" s="1"/>
  <c r="E33" i="2" s="1"/>
  <c r="E17" i="1" s="1"/>
  <c r="D6" i="1"/>
  <c r="D26" i="2" s="1"/>
  <c r="D27" i="2" s="1"/>
  <c r="C6" i="1"/>
  <c r="C26" i="2" s="1"/>
  <c r="C27" i="2" s="1"/>
  <c r="B6" i="1"/>
  <c r="B26" i="2" s="1"/>
  <c r="B27" i="2" s="1"/>
  <c r="G28" i="2" l="1"/>
  <c r="G32" i="1"/>
  <c r="G37" i="1"/>
  <c r="G26" i="1"/>
  <c r="G36" i="1" s="1"/>
  <c r="B28" i="2"/>
  <c r="B32" i="1"/>
  <c r="B26" i="1"/>
  <c r="B36" i="1" s="1"/>
  <c r="B37" i="1"/>
  <c r="F32" i="2"/>
  <c r="F9" i="1" s="1"/>
  <c r="F30" i="2"/>
  <c r="D11" i="8" s="1"/>
  <c r="D14" i="8" s="1"/>
  <c r="E37" i="1"/>
  <c r="E32" i="1"/>
  <c r="E26" i="1"/>
  <c r="E36" i="1" s="1"/>
  <c r="C12" i="2"/>
  <c r="C20" i="4"/>
  <c r="C13" i="1"/>
  <c r="C14" i="1"/>
  <c r="G32" i="2"/>
  <c r="G9" i="1" s="1"/>
  <c r="G30" i="2"/>
  <c r="E11" i="8" s="1"/>
  <c r="E14" i="8" s="1"/>
  <c r="F28" i="2"/>
  <c r="F37" i="1"/>
  <c r="F32" i="1"/>
  <c r="F26" i="1"/>
  <c r="F36" i="1" s="1"/>
  <c r="C13" i="8"/>
  <c r="C15" i="8" s="1"/>
  <c r="E20" i="4"/>
  <c r="E14" i="1"/>
  <c r="E13" i="1"/>
  <c r="I26" i="2"/>
  <c r="I27" i="2" s="1"/>
  <c r="I18" i="1"/>
  <c r="I33" i="2" s="1"/>
  <c r="I17" i="1" s="1"/>
  <c r="H56" i="1"/>
  <c r="D28" i="2"/>
  <c r="D37" i="1"/>
  <c r="D32" i="1"/>
  <c r="D26" i="1"/>
  <c r="D36" i="1" s="1"/>
  <c r="B44" i="1"/>
  <c r="B13" i="8"/>
  <c r="B15" i="8" s="1"/>
  <c r="D20" i="4"/>
  <c r="D14" i="1"/>
  <c r="D13" i="1"/>
  <c r="H26" i="2"/>
  <c r="H27" i="2" s="1"/>
  <c r="H18" i="1"/>
  <c r="H33" i="2" s="1"/>
  <c r="H17" i="1" s="1"/>
  <c r="E13" i="8"/>
  <c r="E15" i="8" s="1"/>
  <c r="G20" i="4"/>
  <c r="J37" i="1"/>
  <c r="J32" i="1"/>
  <c r="J26" i="1"/>
  <c r="J36" i="1" s="1"/>
  <c r="J28" i="2"/>
  <c r="F13" i="8"/>
  <c r="F15" i="8" s="1"/>
  <c r="H20" i="4"/>
  <c r="H14" i="1"/>
  <c r="H13" i="1"/>
  <c r="G35" i="1"/>
  <c r="J56" i="1"/>
  <c r="G13" i="8"/>
  <c r="I20" i="4"/>
  <c r="I14" i="1"/>
  <c r="E32" i="2"/>
  <c r="E9" i="1" s="1"/>
  <c r="E30" i="2"/>
  <c r="C11" i="8" s="1"/>
  <c r="C14" i="8" s="1"/>
  <c r="H28" i="2"/>
  <c r="H37" i="1"/>
  <c r="H32" i="1"/>
  <c r="H26" i="1"/>
  <c r="H36" i="1" s="1"/>
  <c r="D13" i="8"/>
  <c r="D15" i="8" s="1"/>
  <c r="F20" i="4"/>
  <c r="B13" i="1"/>
  <c r="B32" i="2"/>
  <c r="B9" i="1" s="1"/>
  <c r="B30" i="2"/>
  <c r="B7" i="1"/>
  <c r="B31" i="2" s="1"/>
  <c r="B8" i="1" s="1"/>
  <c r="G18" i="1"/>
  <c r="G33" i="2" s="1"/>
  <c r="G17" i="1" s="1"/>
  <c r="C32" i="2"/>
  <c r="C9" i="1" s="1"/>
  <c r="F7" i="1"/>
  <c r="F31" i="2" s="1"/>
  <c r="F8" i="1" s="1"/>
  <c r="J20" i="4"/>
  <c r="J14" i="1"/>
  <c r="J13" i="1"/>
  <c r="H13" i="8"/>
  <c r="G15" i="8"/>
  <c r="J26" i="2"/>
  <c r="J27" i="2" s="1"/>
  <c r="J18" i="1"/>
  <c r="J33" i="2" s="1"/>
  <c r="J17" i="1" s="1"/>
  <c r="I28" i="2"/>
  <c r="I37" i="1"/>
  <c r="I32" i="1"/>
  <c r="I26" i="1"/>
  <c r="I36" i="1" s="1"/>
  <c r="F9" i="3"/>
  <c r="E9" i="3"/>
  <c r="D9" i="3"/>
  <c r="C9" i="3"/>
  <c r="B9" i="3"/>
  <c r="K32" i="2"/>
  <c r="K9" i="1" s="1"/>
  <c r="F13" i="1"/>
  <c r="B21" i="3"/>
  <c r="B8" i="3"/>
  <c r="B25" i="3" s="1"/>
  <c r="C25" i="3" s="1"/>
  <c r="D25" i="3" s="1"/>
  <c r="E25" i="3" s="1"/>
  <c r="F25" i="3" s="1"/>
  <c r="D5" i="9"/>
  <c r="B44" i="9" s="1"/>
  <c r="C5" i="9"/>
  <c r="B31" i="9" s="1"/>
  <c r="B5" i="9"/>
  <c r="B18" i="9" s="1"/>
  <c r="G13" i="1"/>
  <c r="K28" i="2"/>
  <c r="K30" i="2" s="1"/>
  <c r="I11" i="8" s="1"/>
  <c r="I14" i="8" s="1"/>
  <c r="K37" i="1"/>
  <c r="K32" i="1"/>
  <c r="K26" i="1"/>
  <c r="K36" i="1" s="1"/>
  <c r="B35" i="3"/>
  <c r="D32" i="2"/>
  <c r="D9" i="1" s="1"/>
  <c r="D30" i="2"/>
  <c r="B11" i="8" s="1"/>
  <c r="B14" i="8" s="1"/>
  <c r="G7" i="1"/>
  <c r="G31" i="2" s="1"/>
  <c r="G8" i="1" s="1"/>
  <c r="B14" i="1"/>
  <c r="C37" i="1"/>
  <c r="C32" i="1"/>
  <c r="C28" i="2"/>
  <c r="C30" i="2" s="1"/>
  <c r="C26" i="1"/>
  <c r="C36" i="1" s="1"/>
  <c r="B56" i="1"/>
  <c r="K20" i="4"/>
  <c r="K14" i="1"/>
  <c r="K13" i="1"/>
  <c r="I13" i="8"/>
  <c r="I15" i="8" s="1"/>
  <c r="H15" i="8"/>
  <c r="B8" i="9"/>
  <c r="F16" i="7"/>
  <c r="B11" i="10"/>
  <c r="E16" i="7"/>
  <c r="D16" i="7"/>
  <c r="B9" i="10"/>
  <c r="C16" i="7"/>
  <c r="B16" i="7"/>
  <c r="B12" i="10"/>
  <c r="B10" i="10"/>
  <c r="D8" i="9"/>
  <c r="B8" i="10"/>
  <c r="C8" i="9"/>
  <c r="D7" i="1"/>
  <c r="D31" i="2" s="1"/>
  <c r="D8" i="1" s="1"/>
  <c r="D18" i="1"/>
  <c r="D33" i="2" s="1"/>
  <c r="D17" i="1" s="1"/>
  <c r="D34" i="1"/>
  <c r="D44" i="1"/>
  <c r="B16" i="3"/>
  <c r="C7" i="1"/>
  <c r="C31" i="2" s="1"/>
  <c r="C8" i="1" s="1"/>
  <c r="C18" i="1"/>
  <c r="C33" i="2" s="1"/>
  <c r="C17" i="1" s="1"/>
  <c r="B6" i="8" s="1"/>
  <c r="E7" i="1"/>
  <c r="E31" i="2" s="1"/>
  <c r="E8" i="1" s="1"/>
  <c r="E34" i="1"/>
  <c r="E44" i="1"/>
  <c r="C16" i="3"/>
  <c r="F34" i="1"/>
  <c r="F44" i="1"/>
  <c r="D16" i="3"/>
  <c r="E16" i="3"/>
  <c r="B6" i="9"/>
  <c r="H34" i="1"/>
  <c r="H44" i="1"/>
  <c r="C6" i="9"/>
  <c r="I34" i="1"/>
  <c r="I44" i="1"/>
  <c r="I55" i="1"/>
  <c r="I56" i="1" s="1"/>
  <c r="B14" i="3"/>
  <c r="J34" i="1"/>
  <c r="J44" i="1"/>
  <c r="C14" i="3"/>
  <c r="B7" i="9"/>
  <c r="K7" i="1"/>
  <c r="K31" i="2" s="1"/>
  <c r="K8" i="1" s="1"/>
  <c r="K18" i="1"/>
  <c r="K33" i="2" s="1"/>
  <c r="K17" i="1" s="1"/>
  <c r="K34" i="1"/>
  <c r="K44" i="1"/>
  <c r="D14" i="3"/>
  <c r="C7" i="9"/>
  <c r="E14" i="3"/>
  <c r="C34" i="1"/>
  <c r="C44" i="1"/>
  <c r="B26" i="3" l="1"/>
  <c r="J32" i="2"/>
  <c r="J9" i="1" s="1"/>
  <c r="J30" i="2"/>
  <c r="H11" i="8" s="1"/>
  <c r="H14" i="8" s="1"/>
  <c r="B5" i="8"/>
  <c r="I32" i="2"/>
  <c r="I9" i="1" s="1"/>
  <c r="I30" i="2"/>
  <c r="G11" i="8" s="1"/>
  <c r="G14" i="8" s="1"/>
  <c r="E49" i="9"/>
  <c r="D49" i="9"/>
  <c r="C49" i="9"/>
  <c r="B49" i="9"/>
  <c r="F49" i="9"/>
  <c r="F23" i="9"/>
  <c r="E23" i="9"/>
  <c r="D23" i="9"/>
  <c r="C23" i="9"/>
  <c r="B23" i="9"/>
  <c r="B32" i="9"/>
  <c r="C31" i="9"/>
  <c r="B33" i="9"/>
  <c r="F10" i="3"/>
  <c r="E10" i="3"/>
  <c r="D10" i="3"/>
  <c r="C10" i="3"/>
  <c r="B10" i="3"/>
  <c r="B7" i="8"/>
  <c r="B45" i="9"/>
  <c r="C44" i="9"/>
  <c r="B46" i="9"/>
  <c r="C21" i="3"/>
  <c r="B43" i="3"/>
  <c r="B23" i="3"/>
  <c r="B42" i="3"/>
  <c r="B34" i="3"/>
  <c r="B22" i="3"/>
  <c r="B24" i="3" s="1"/>
  <c r="C26" i="3"/>
  <c r="C18" i="9"/>
  <c r="B20" i="9"/>
  <c r="B19" i="9"/>
  <c r="B21" i="9" s="1"/>
  <c r="C35" i="3"/>
  <c r="H32" i="2"/>
  <c r="H9" i="1" s="1"/>
  <c r="H30" i="2"/>
  <c r="F11" i="8" s="1"/>
  <c r="F14" i="8" s="1"/>
  <c r="C36" i="9"/>
  <c r="B36" i="9"/>
  <c r="F36" i="9"/>
  <c r="E36" i="9"/>
  <c r="D36" i="9"/>
  <c r="B47" i="9" l="1"/>
  <c r="B34" i="9"/>
  <c r="D18" i="9"/>
  <c r="C20" i="9"/>
  <c r="C19" i="9"/>
  <c r="C45" i="9"/>
  <c r="D44" i="9"/>
  <c r="C46" i="9"/>
  <c r="C32" i="9"/>
  <c r="C34" i="9" s="1"/>
  <c r="D31" i="9"/>
  <c r="C33" i="9"/>
  <c r="B46" i="3"/>
  <c r="B44" i="3"/>
  <c r="B48" i="9" s="1"/>
  <c r="B50" i="9" s="1"/>
  <c r="B27" i="3"/>
  <c r="B21" i="8"/>
  <c r="B22" i="8" s="1"/>
  <c r="D35" i="3"/>
  <c r="D21" i="3"/>
  <c r="C43" i="3"/>
  <c r="C23" i="3"/>
  <c r="C42" i="3"/>
  <c r="C34" i="3"/>
  <c r="C22" i="3"/>
  <c r="B22" i="9"/>
  <c r="B24" i="9" s="1"/>
  <c r="C21" i="9" l="1"/>
  <c r="C24" i="3"/>
  <c r="C27" i="3" s="1"/>
  <c r="C35" i="9"/>
  <c r="C37" i="9" s="1"/>
  <c r="C44" i="3"/>
  <c r="E35" i="3"/>
  <c r="E26" i="3"/>
  <c r="E31" i="9"/>
  <c r="D33" i="9"/>
  <c r="D32" i="9"/>
  <c r="D26" i="3"/>
  <c r="D45" i="9"/>
  <c r="E44" i="9"/>
  <c r="D46" i="9"/>
  <c r="B45" i="3"/>
  <c r="B14" i="7"/>
  <c r="B17" i="7" s="1"/>
  <c r="C45" i="3"/>
  <c r="C14" i="7"/>
  <c r="C17" i="7" s="1"/>
  <c r="C47" i="9"/>
  <c r="C48" i="9" s="1"/>
  <c r="C50" i="9" s="1"/>
  <c r="C22" i="9"/>
  <c r="C24" i="9" s="1"/>
  <c r="B35" i="9"/>
  <c r="B37" i="9" s="1"/>
  <c r="C28" i="3"/>
  <c r="C29" i="3" s="1"/>
  <c r="C30" i="3" s="1"/>
  <c r="B28" i="3"/>
  <c r="B29" i="3" s="1"/>
  <c r="B30" i="3" s="1"/>
  <c r="B47" i="3"/>
  <c r="E21" i="3"/>
  <c r="D43" i="3"/>
  <c r="D23" i="3"/>
  <c r="D42" i="3"/>
  <c r="D44" i="3" s="1"/>
  <c r="D34" i="3"/>
  <c r="D22" i="3"/>
  <c r="D24" i="3" s="1"/>
  <c r="D27" i="3" s="1"/>
  <c r="E18" i="9"/>
  <c r="D20" i="9"/>
  <c r="D19" i="9"/>
  <c r="D34" i="9" l="1"/>
  <c r="D21" i="9"/>
  <c r="D47" i="9"/>
  <c r="C31" i="3"/>
  <c r="D36" i="3"/>
  <c r="C50" i="3"/>
  <c r="F18" i="9"/>
  <c r="E20" i="9"/>
  <c r="E19" i="9"/>
  <c r="B37" i="3"/>
  <c r="B31" i="3"/>
  <c r="B19" i="8" s="1"/>
  <c r="B28" i="8" s="1"/>
  <c r="C36" i="3"/>
  <c r="C46" i="3" s="1"/>
  <c r="B50" i="3"/>
  <c r="D48" i="9"/>
  <c r="D50" i="9" s="1"/>
  <c r="D28" i="3"/>
  <c r="D29" i="3" s="1"/>
  <c r="D30" i="3" s="1"/>
  <c r="D45" i="3"/>
  <c r="D14" i="7"/>
  <c r="D17" i="7" s="1"/>
  <c r="D35" i="9"/>
  <c r="D37" i="9" s="1"/>
  <c r="F31" i="9"/>
  <c r="E33" i="9"/>
  <c r="E32" i="9"/>
  <c r="F21" i="3"/>
  <c r="E43" i="3"/>
  <c r="E23" i="3"/>
  <c r="E42" i="3"/>
  <c r="E44" i="3" s="1"/>
  <c r="E34" i="3"/>
  <c r="E22" i="3"/>
  <c r="B23" i="8"/>
  <c r="B30" i="8" s="1"/>
  <c r="F35" i="3"/>
  <c r="F26" i="3"/>
  <c r="D22" i="9"/>
  <c r="D24" i="9" s="1"/>
  <c r="E45" i="9"/>
  <c r="F44" i="9"/>
  <c r="E46" i="9"/>
  <c r="E21" i="9" l="1"/>
  <c r="E24" i="3"/>
  <c r="E27" i="3" s="1"/>
  <c r="E34" i="9"/>
  <c r="D31" i="3"/>
  <c r="E36" i="3"/>
  <c r="D50" i="3"/>
  <c r="C37" i="3"/>
  <c r="B55" i="3"/>
  <c r="B20" i="8" s="1"/>
  <c r="B29" i="8" s="1"/>
  <c r="B31" i="8" s="1"/>
  <c r="B38" i="3"/>
  <c r="B39" i="3" s="1"/>
  <c r="B52" i="3"/>
  <c r="B53" i="3"/>
  <c r="B51" i="3"/>
  <c r="F20" i="9"/>
  <c r="F19" i="9"/>
  <c r="F21" i="9" s="1"/>
  <c r="E22" i="9"/>
  <c r="E24" i="9" s="1"/>
  <c r="F33" i="9"/>
  <c r="F32" i="9"/>
  <c r="E28" i="3"/>
  <c r="E29" i="3" s="1"/>
  <c r="E30" i="3" s="1"/>
  <c r="E45" i="3"/>
  <c r="E14" i="7"/>
  <c r="E17" i="7" s="1"/>
  <c r="E35" i="9"/>
  <c r="E37" i="9" s="1"/>
  <c r="F43" i="3"/>
  <c r="F23" i="3"/>
  <c r="F42" i="3"/>
  <c r="F34" i="3"/>
  <c r="F22" i="3"/>
  <c r="D46" i="3"/>
  <c r="C47" i="3"/>
  <c r="C54" i="3" s="1"/>
  <c r="F46" i="9"/>
  <c r="F45" i="9"/>
  <c r="E47" i="9"/>
  <c r="E48" i="9" s="1"/>
  <c r="E50" i="9" s="1"/>
  <c r="B54" i="3"/>
  <c r="F34" i="9" l="1"/>
  <c r="F47" i="9"/>
  <c r="E31" i="3"/>
  <c r="F36" i="3"/>
  <c r="E50" i="3"/>
  <c r="B33" i="8"/>
  <c r="B6" i="11"/>
  <c r="F48" i="9"/>
  <c r="E46" i="3"/>
  <c r="D47" i="3"/>
  <c r="F24" i="3"/>
  <c r="F27" i="3" s="1"/>
  <c r="D37" i="3"/>
  <c r="C55" i="3"/>
  <c r="C38" i="3"/>
  <c r="C39" i="3" s="1"/>
  <c r="C52" i="3"/>
  <c r="C53" i="3"/>
  <c r="C51" i="3"/>
  <c r="F44" i="3"/>
  <c r="F35" i="9" s="1"/>
  <c r="F46" i="3" l="1"/>
  <c r="F47" i="3" s="1"/>
  <c r="E47" i="3"/>
  <c r="B51" i="9"/>
  <c r="F50" i="9"/>
  <c r="E37" i="3"/>
  <c r="D55" i="3"/>
  <c r="D38" i="3"/>
  <c r="D39" i="3" s="1"/>
  <c r="D52" i="3"/>
  <c r="D53" i="3"/>
  <c r="D51" i="3"/>
  <c r="F28" i="3"/>
  <c r="F29" i="3" s="1"/>
  <c r="F30" i="3" s="1"/>
  <c r="F45" i="3"/>
  <c r="F14" i="7"/>
  <c r="E11" i="10"/>
  <c r="G12" i="10"/>
  <c r="E10" i="10"/>
  <c r="F11" i="10"/>
  <c r="C9" i="10"/>
  <c r="F8" i="10"/>
  <c r="E12" i="10"/>
  <c r="G11" i="10"/>
  <c r="C8" i="10"/>
  <c r="D11" i="10"/>
  <c r="D8" i="10"/>
  <c r="E9" i="10"/>
  <c r="G8" i="10"/>
  <c r="F9" i="10"/>
  <c r="D10" i="10"/>
  <c r="D12" i="10"/>
  <c r="E8" i="10"/>
  <c r="G9" i="10"/>
  <c r="C12" i="10"/>
  <c r="F12" i="10"/>
  <c r="C10" i="10"/>
  <c r="C11" i="10"/>
  <c r="G10" i="10"/>
  <c r="F10" i="10"/>
  <c r="D9" i="10"/>
  <c r="B38" i="9"/>
  <c r="B39" i="9" s="1"/>
  <c r="B40" i="9" s="1"/>
  <c r="F37" i="9"/>
  <c r="F22" i="9"/>
  <c r="D54" i="3"/>
  <c r="F31" i="3" l="1"/>
  <c r="F50" i="3"/>
  <c r="B15" i="11"/>
  <c r="B59" i="9"/>
  <c r="C59" i="9" s="1"/>
  <c r="B52" i="9"/>
  <c r="B53" i="9" s="1"/>
  <c r="E54" i="3"/>
  <c r="F37" i="3"/>
  <c r="E55" i="3"/>
  <c r="E38" i="3"/>
  <c r="E39" i="3" s="1"/>
  <c r="E52" i="3"/>
  <c r="E53" i="3"/>
  <c r="E51" i="3"/>
  <c r="B21" i="7"/>
  <c r="B22" i="7" s="1"/>
  <c r="B23" i="7" s="1"/>
  <c r="B27" i="7" s="1"/>
  <c r="F17" i="7"/>
  <c r="B26" i="7" s="1"/>
  <c r="F24" i="9"/>
  <c r="B25" i="9"/>
  <c r="B26" i="9" s="1"/>
  <c r="B27" i="9" s="1"/>
  <c r="F54" i="3"/>
  <c r="B28" i="7" l="1"/>
  <c r="B30" i="7" s="1"/>
  <c r="B58" i="9"/>
  <c r="C58" i="9" s="1"/>
  <c r="B14" i="11"/>
  <c r="B60" i="9"/>
  <c r="C60" i="9" s="1"/>
  <c r="B16" i="11"/>
  <c r="F55" i="3"/>
  <c r="F38" i="3"/>
  <c r="F39" i="3" s="1"/>
  <c r="F52" i="3"/>
  <c r="F53" i="3"/>
  <c r="B32" i="7"/>
  <c r="B5" i="11"/>
  <c r="B7" i="11" s="1"/>
  <c r="B18" i="10"/>
  <c r="C15" i="11"/>
  <c r="G5" i="12"/>
  <c r="F51" i="3"/>
  <c r="B10" i="11" l="1"/>
  <c r="C5" i="12"/>
  <c r="H5" i="12"/>
  <c r="C16" i="11"/>
  <c r="F5" i="12"/>
  <c r="C14" i="11"/>
  <c r="D5" i="12" l="1"/>
  <c r="B22" i="11"/>
  <c r="E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100-000001000000}">
      <text>
        <r>
          <rPr>
            <sz val="10"/>
            <rFont val="Arial"/>
            <family val="2"/>
          </rPr>
          <t>Harga saham disesuaikan (setara pra-stock split) agar konsisten dengan basis saham beredar 4.23 miliar lembar yang dipakai di seluruh model ini. RAJA melakukan stock split rasio 1:5 efektif 16 Jul 2026 (saham beredar baru: 21.14 miliar lembar). Harga pasar aktual pasca-split per 1 Agu 2026 berkisar Rp885-920/lembar (TradingView); disetarakan Rp885-920 x 5 = ~Rp4.500. Sumber: TradingView (id.tradingview.com/symbols/IDX-RAJA), Agu 2026.</t>
        </r>
      </text>
    </comment>
    <comment ref="C13" authorId="0" shapeId="0" xr:uid="{00000000-0006-0000-0100-000002000000}">
      <text>
        <r>
          <rPr>
            <sz val="10"/>
            <rFont val="Arial"/>
            <family val="2"/>
          </rPr>
          <t>Beta regresi historis (2 tahun) saham RAJA, TradingView per Agu 2026. Beta cukup tinggi karena kapitalisasi pasar kecil-menengah dan likuiditas terbatas.</t>
        </r>
      </text>
    </comment>
  </commentList>
</comments>
</file>

<file path=xl/sharedStrings.xml><?xml version="1.0" encoding="utf-8"?>
<sst xmlns="http://schemas.openxmlformats.org/spreadsheetml/2006/main" count="623" uniqueCount="438">
  <si>
    <t>KEY RATIO - PT Rukun Raharja Tbk (RAJA)</t>
  </si>
  <si>
    <t>Keterangan</t>
  </si>
  <si>
    <t>12M 2016</t>
  </si>
  <si>
    <t>12M 2017</t>
  </si>
  <si>
    <t>12M 2018</t>
  </si>
  <si>
    <t>12M 2019</t>
  </si>
  <si>
    <t>12M 2020</t>
  </si>
  <si>
    <t>12M 2021</t>
  </si>
  <si>
    <t>12M 2022</t>
  </si>
  <si>
    <t>12M 2023</t>
  </si>
  <si>
    <t>12M 2024</t>
  </si>
  <si>
    <t>12M 2025</t>
  </si>
  <si>
    <t>Catatan</t>
  </si>
  <si>
    <t>VALUASI &amp; PROFITABILITAS</t>
  </si>
  <si>
    <t>Share Outstanding (Miliar Lembar)</t>
  </si>
  <si>
    <t>EPS (Annual) (Rp)</t>
  </si>
  <si>
    <t>PE Ratio (Annual)</t>
  </si>
  <si>
    <t>Price to Sales (Annual)</t>
  </si>
  <si>
    <t>EBITDA (Annual)</t>
  </si>
  <si>
    <t>n/a</t>
  </si>
  <si>
    <t>Return on Assets - ROA (Annual)</t>
  </si>
  <si>
    <t>Return on Equity - ROE (Annual)</t>
  </si>
  <si>
    <t>Return on Capital Employed - ROCE (Annual)</t>
  </si>
  <si>
    <t>Interest Coverage (Annual)</t>
  </si>
  <si>
    <t>VALUASI BUKU (BOOK VALUE)</t>
  </si>
  <si>
    <t>Price to Book Value (Annual)</t>
  </si>
  <si>
    <t>Book Value Per Share (Rp)</t>
  </si>
  <si>
    <t>Price to Tangible Book Value (Annual)</t>
  </si>
  <si>
    <t>Tangible Book Value Per Share (Rp)</t>
  </si>
  <si>
    <t>STRUKTUR UTANG (DEBT)</t>
  </si>
  <si>
    <t>Short-term Debt (Annual)</t>
  </si>
  <si>
    <t>Long-term Debt (Annual)</t>
  </si>
  <si>
    <t>Total Debt (Annual)</t>
  </si>
  <si>
    <t>Net Debt (Annual)</t>
  </si>
  <si>
    <t>Working Capital (Annual)</t>
  </si>
  <si>
    <t>RASIO LIKUIDITAS &amp; LEVERAGE</t>
  </si>
  <si>
    <t>Current Ratio (Annual)</t>
  </si>
  <si>
    <t>Quick Ratio (Annual)</t>
  </si>
  <si>
    <t>Debt to Equity Ratio (Annual)</t>
  </si>
  <si>
    <t>Financial Leverage (Annual)</t>
  </si>
  <si>
    <t>LT Debt/Equity (Annual)</t>
  </si>
  <si>
    <t>LT Debt/Total Assets (Annual)</t>
  </si>
  <si>
    <t>Net Debt/Total Equity (Annual)</t>
  </si>
  <si>
    <t>Total Debt/Total Assets (Annual)</t>
  </si>
  <si>
    <t>Total Liabilities/Equity (Annual)</t>
  </si>
  <si>
    <t>RASIO EFISIENSI (ACTIVITY)</t>
  </si>
  <si>
    <t>Days Sales Outstanding (Annual)</t>
  </si>
  <si>
    <t>Days Inventory (Annual)</t>
  </si>
  <si>
    <t>Payables Period (Annual)</t>
  </si>
  <si>
    <t>Cash Conversion Cycle (Annual)</t>
  </si>
  <si>
    <t>Receivables Turnover (Annual)</t>
  </si>
  <si>
    <t>Inventory Turnover (Annual)</t>
  </si>
  <si>
    <t>Fixed Assets Turnover (Annual)</t>
  </si>
  <si>
    <t>Asset Turnover (Annual)</t>
  </si>
  <si>
    <t>Working Capital Turnover (Annual)</t>
  </si>
  <si>
    <t>Working Capital Ratio (Annual)</t>
  </si>
  <si>
    <t>ARUS KAS KUNCI</t>
  </si>
  <si>
    <t>Operating Cash Flow (Annual)</t>
  </si>
  <si>
    <t>Capital Expenditure (Annual)</t>
  </si>
  <si>
    <t>Free Cash Flow (Annual)</t>
  </si>
  <si>
    <t>Free Cash Flow Per Share (Rp)</t>
  </si>
  <si>
    <t>MARKET DATA - PT Rukun Raharja Tbk (RAJA)</t>
  </si>
  <si>
    <t>Category</t>
  </si>
  <si>
    <t>Item</t>
  </si>
  <si>
    <t>Value</t>
  </si>
  <si>
    <t>General</t>
  </si>
  <si>
    <t>Company</t>
  </si>
  <si>
    <t>PT Rukun Raharja Tbk</t>
  </si>
  <si>
    <t>Ticker</t>
  </si>
  <si>
    <t>RAJA</t>
  </si>
  <si>
    <t>Sector</t>
  </si>
  <si>
    <t>Energi</t>
  </si>
  <si>
    <t>Industry</t>
  </si>
  <si>
    <t>Minyak &amp; Gas - Layanan Terintegrasi (Midstream/Trading Gas, Pembangkit Listrik)</t>
  </si>
  <si>
    <t>Market</t>
  </si>
  <si>
    <t>Current Price</t>
  </si>
  <si>
    <t>Market Cap (Miliar Rp)</t>
  </si>
  <si>
    <t>Enterprise Value (Miliar Rp)</t>
  </si>
  <si>
    <t>Beta</t>
  </si>
  <si>
    <t>Free Float (%)</t>
  </si>
  <si>
    <t>Dividend Yield (%)</t>
  </si>
  <si>
    <t>52 Week High</t>
  </si>
  <si>
    <t>52 Week Low</t>
  </si>
  <si>
    <t>Average Volume</t>
  </si>
  <si>
    <t>Last Updated</t>
  </si>
  <si>
    <t>1 Agustus 2026</t>
  </si>
  <si>
    <t>HISTORIS HARGA SAHAM &amp; VALUASI PASAR (12M 2016 - 12M 2025)</t>
  </si>
  <si>
    <t>Harga Saham / Price (Rp)</t>
  </si>
  <si>
    <t>Total Debt (Miliar Rp)</t>
  </si>
  <si>
    <t>Kas Dan Setara Kas (Miliar Rp)</t>
  </si>
  <si>
    <t>PE Ratio (x)</t>
  </si>
  <si>
    <t>Price to Sales (x)</t>
  </si>
  <si>
    <t>Price to Book Value (x)</t>
  </si>
  <si>
    <t>Price to Tangible Book Value (x)</t>
  </si>
  <si>
    <t>FORECAST 5 TAHUN - PT Rukun Raharja Tbk (RAJA)</t>
  </si>
  <si>
    <t>12M 2026F</t>
  </si>
  <si>
    <t>12M 2027F</t>
  </si>
  <si>
    <t>12M 2028F</t>
  </si>
  <si>
    <t>12M 2029F</t>
  </si>
  <si>
    <t>12M 2030F</t>
  </si>
  <si>
    <t>Pertumbuhan Pendapatan (%)</t>
  </si>
  <si>
    <t>Margin Laba Kotor (%)</t>
  </si>
  <si>
    <t>Beban Usaha (% Pendapatan)</t>
  </si>
  <si>
    <t>Pertumbuhan Bagian Atas Hasil Bersih Entitas Asosiasi (%)</t>
  </si>
  <si>
    <t>Tingkat Bunga Efektif Atas Utang (%)</t>
  </si>
  <si>
    <t>Tarif Pajak Efektif (%)</t>
  </si>
  <si>
    <t>Persentase Laba Bersih Milik Pemilik Entitas Induk (%)</t>
  </si>
  <si>
    <t>Rasio Pembayaran Dividen (% Dari Laba Bersih Pemilik Tahun Sebelumnya)</t>
  </si>
  <si>
    <t>Belanja Modal / Capex (% Pendapatan)</t>
  </si>
  <si>
    <t>Arus Kas Operasi / OCF (% Pendapatan)</t>
  </si>
  <si>
    <t>Pertumbuhan Total Debt (%)</t>
  </si>
  <si>
    <t>Asumsi Perputaran Aset / Asset Turnover (x)</t>
  </si>
  <si>
    <t>Proporsi Kepentingan Non Pengendali (% Dari Total Ekuitas)</t>
  </si>
  <si>
    <t>Jumlah Saham Beredar (Miliar Lembar, Diasumsikan Tetap)</t>
  </si>
  <si>
    <t>PROYEKSI LAPORAN LABA RUGI</t>
  </si>
  <si>
    <t>Pendapatan</t>
  </si>
  <si>
    <t>Laba Kotor</t>
  </si>
  <si>
    <t>Beban Usaha</t>
  </si>
  <si>
    <t>Laba Usaha (EBIT)</t>
  </si>
  <si>
    <t>Bagian Atas Hasil Bersih Entitas Asosiasi</t>
  </si>
  <si>
    <t>Beban Keuangan (Bunga)</t>
  </si>
  <si>
    <t>Laba Sebelum Pajak (EBT)</t>
  </si>
  <si>
    <t>Beban Pajak Penghasilan</t>
  </si>
  <si>
    <t>Laba Bersih Tahun Berjalan</t>
  </si>
  <si>
    <t>Laba Bersih - Pemilik Entitas Induk</t>
  </si>
  <si>
    <t>EPS (Rp)</t>
  </si>
  <si>
    <t>PROYEKSI NERACA (SIMPLIFIED)</t>
  </si>
  <si>
    <t>Total Aset (= Pendapatan / Asset Turnover)</t>
  </si>
  <si>
    <t>Total Debt</t>
  </si>
  <si>
    <t>Dividen Dibayar (= Payout% x Laba Bersih Pemilik Tahun Sebelumnya)</t>
  </si>
  <si>
    <t>Ekuitas - Pemilik Entitas Induk</t>
  </si>
  <si>
    <t>Total Ekuitas (Termasuk Kepentingan Non Pengendali)</t>
  </si>
  <si>
    <t>Total Liabilitas (Plug = Total Aset - Total Ekuitas)</t>
  </si>
  <si>
    <t>PROYEKSI ARUS KAS (SIMPLIFIED)</t>
  </si>
  <si>
    <t>Arus Kas Operasi (OCF)</t>
  </si>
  <si>
    <t>Belanja Modal (Capex)</t>
  </si>
  <si>
    <t>Free Cash Flow (FCF)</t>
  </si>
  <si>
    <t>Kas Dan Setara Kas Akhir Periode</t>
  </si>
  <si>
    <t>Net Debt</t>
  </si>
  <si>
    <t>PROYEKSI KEY RATIO</t>
  </si>
  <si>
    <t>Return on Assets - ROA (%)</t>
  </si>
  <si>
    <t>Return on Equity - ROE (%)</t>
  </si>
  <si>
    <t>Debt to Equity Ratio (x)</t>
  </si>
  <si>
    <t>Financial Leverage (x)</t>
  </si>
  <si>
    <t>Net Debt/Total Equity (x)</t>
  </si>
  <si>
    <t>DATA PENDUKUNG 12M 2026F (Q1 Aktual + Forecast Q2-Q4) -- dalam Miliar Rupiah</t>
  </si>
  <si>
    <t>Pendapatan Q1 2026 Aktual (Miliar Rp)</t>
  </si>
  <si>
    <t>Pendapatan Q1 2025 Aktual (Miliar Rp)</t>
  </si>
  <si>
    <t>Pendapatan FY2025 Aktual (Miliar Rp)</t>
  </si>
  <si>
    <t>Pendapatan Q2-Q4 2025 Aktual (Miliar Rp)</t>
  </si>
  <si>
    <t>Growth Rate Top-Down (CAGR 3-Tahun Historis, %)</t>
  </si>
  <si>
    <t>Pendapatan Q2-Q4 2026F (Miliar Rp)</t>
  </si>
  <si>
    <t>Pendapatan FY2026F (Miliar Rp) = Q1 Aktual + Q2-Q4F</t>
  </si>
  <si>
    <t>Growth Rate FY2026F vs FY2025 (%) -- INI YANG DIPAKAI DI B5</t>
  </si>
  <si>
    <t>INCOME STATEMENT - PT Rukun Raharja Tbk (RAJA)</t>
  </si>
  <si>
    <t>Total Pendapatan</t>
  </si>
  <si>
    <t>Total Beban Pokok Penjualan</t>
  </si>
  <si>
    <t>Total Beban Usaha</t>
  </si>
  <si>
    <t>Laba Usaha (Operating Profit)</t>
  </si>
  <si>
    <t>Penghasilan/(Beban) Lain-Lain</t>
  </si>
  <si>
    <t xml:space="preserve">    Laba (Rugi) Selisih Kurs</t>
  </si>
  <si>
    <t xml:space="preserve">    Pendapatan Keuangan</t>
  </si>
  <si>
    <t xml:space="preserve">    Beban Keuangan</t>
  </si>
  <si>
    <t xml:space="preserve">    Bagian Atas Hasil Bersih Entitas Asosiasi</t>
  </si>
  <si>
    <t xml:space="preserve">    Laba (Rugi) Atas Penjualan Aset Tetap</t>
  </si>
  <si>
    <t xml:space="preserve">    Adjustment</t>
  </si>
  <si>
    <t xml:space="preserve">    Others</t>
  </si>
  <si>
    <t>Total Penghasilan/(Beban) Lain-Lain</t>
  </si>
  <si>
    <t>Laba Sebelum Pajak</t>
  </si>
  <si>
    <t>Laba Bersih Dari Operasi Yang Dilanjutkan</t>
  </si>
  <si>
    <t>Hak Minoritas</t>
  </si>
  <si>
    <t>Laba Pra Akuisisi</t>
  </si>
  <si>
    <t>Pendapatan Komprehensif Lain</t>
  </si>
  <si>
    <t>Jumlah Laba Komprehensif</t>
  </si>
  <si>
    <t>Laba Bersih Yang Dapat Diatribusikan Kepada:</t>
  </si>
  <si>
    <t xml:space="preserve">    Pemilik Entitas Induk</t>
  </si>
  <si>
    <t xml:space="preserve">    Kepentingan Non-Pengendali</t>
  </si>
  <si>
    <t xml:space="preserve">    Laba Pra Akuisisi</t>
  </si>
  <si>
    <t>-</t>
  </si>
  <si>
    <t>Total Laba Bersih Yang Dapat Diatribusikan</t>
  </si>
  <si>
    <t>Laba Komprehensif Yang Dapat Diatribusikan Kepada:</t>
  </si>
  <si>
    <t>Total Laba Komprehensif Yang Dapat Diatribusikan</t>
  </si>
  <si>
    <t>Key Ratio</t>
  </si>
  <si>
    <t>Share Outstanding</t>
  </si>
  <si>
    <t>EPS (Annual)</t>
  </si>
  <si>
    <t>BALANCE SHEET - PT Rukun Raharja Tbk (RAJA)</t>
  </si>
  <si>
    <t>ASET</t>
  </si>
  <si>
    <t>Aset Lancar</t>
  </si>
  <si>
    <t xml:space="preserve">    Kas Dan Setara Kas</t>
  </si>
  <si>
    <t xml:space="preserve">        Kas Dan Setara Kas</t>
  </si>
  <si>
    <t xml:space="preserve">        Pihak Ketiga</t>
  </si>
  <si>
    <t xml:space="preserve">        Total Kas Dan Setara Kas</t>
  </si>
  <si>
    <t xml:space="preserve">    Piutang Usaha</t>
  </si>
  <si>
    <t xml:space="preserve">        Pihak Berelasi</t>
  </si>
  <si>
    <t xml:space="preserve">        Total Piutang Usaha</t>
  </si>
  <si>
    <t xml:space="preserve">    Piutang Lain-Lain</t>
  </si>
  <si>
    <t xml:space="preserve">        Total Piutang Lain-Lain</t>
  </si>
  <si>
    <t xml:space="preserve">    Persediaan</t>
  </si>
  <si>
    <t xml:space="preserve">    Investasi Jangka Pendek</t>
  </si>
  <si>
    <t xml:space="preserve">    Aset Lancar Lainnya (Others)</t>
  </si>
  <si>
    <t xml:space="preserve">    TOTAL ASET LANCAR</t>
  </si>
  <si>
    <t>TOTAL ASET TIDAK LANCAR</t>
  </si>
  <si>
    <t>TOTAL ASET</t>
  </si>
  <si>
    <t>LIABILITAS DAN EKUITAS</t>
  </si>
  <si>
    <t>Liabilitas</t>
  </si>
  <si>
    <t xml:space="preserve">    Liabilitas Jangka Pendek</t>
  </si>
  <si>
    <t xml:space="preserve">        Utang Bank Jangka Pendek</t>
  </si>
  <si>
    <t xml:space="preserve">        Utang Usaha</t>
  </si>
  <si>
    <t xml:space="preserve">            Pihak Ketiga</t>
  </si>
  <si>
    <t xml:space="preserve">            Pihak Berelasi</t>
  </si>
  <si>
    <t xml:space="preserve">            Total Utang Usaha</t>
  </si>
  <si>
    <t xml:space="preserve">        Utang Pajak</t>
  </si>
  <si>
    <t xml:space="preserve">        Utang Lain-Lain</t>
  </si>
  <si>
    <t xml:space="preserve">            Total Utang Lain-Lain</t>
  </si>
  <si>
    <t xml:space="preserve">        Beban Akrual</t>
  </si>
  <si>
    <t xml:space="preserve">        Utang Surat Promes</t>
  </si>
  <si>
    <t xml:space="preserve">        Bagian Lancar Atas Liabilitas Jangka Panjang</t>
  </si>
  <si>
    <t xml:space="preserve">            Utang Bank Jangka Panjang</t>
  </si>
  <si>
    <t xml:space="preserve">            Utang Pembelian Aset</t>
  </si>
  <si>
    <t xml:space="preserve">            Utang Sewa Pembiayaan</t>
  </si>
  <si>
    <t xml:space="preserve">            Others</t>
  </si>
  <si>
    <t xml:space="preserve">            Total Bagian Lancar Atas Liabilitas Jangka Panjang</t>
  </si>
  <si>
    <t xml:space="preserve">        Liabilitas Jangka Pendek Lainnya (Others)</t>
  </si>
  <si>
    <t xml:space="preserve">    TOTAL LIABILITAS JANGKA PENDEK</t>
  </si>
  <si>
    <t xml:space="preserve">    Liabilitas Jangka Panjang</t>
  </si>
  <si>
    <t xml:space="preserve">        Liabilitas Pajak Tangguhan</t>
  </si>
  <si>
    <t xml:space="preserve">        Utang Bank &amp; Sewa Pembiayaan Jangka Panjang</t>
  </si>
  <si>
    <t xml:space="preserve">            Total Utang Bank &amp; Sewa Pembiayaan Jangka Panjang</t>
  </si>
  <si>
    <t xml:space="preserve">        Utang Obligasi</t>
  </si>
  <si>
    <t xml:space="preserve">        Utang Jangka Panjang Lainnya</t>
  </si>
  <si>
    <t xml:space="preserve">        Liabilitas Jangka Panjang Lainnya (Others)</t>
  </si>
  <si>
    <t xml:space="preserve">    TOTAL LIABILITAS JANGKA PANJANG</t>
  </si>
  <si>
    <t>TOTAL LIABILITAS</t>
  </si>
  <si>
    <t>Ekuitas</t>
  </si>
  <si>
    <t xml:space="preserve">    Modal Saham</t>
  </si>
  <si>
    <t xml:space="preserve">    Tambahan Modal Disetor</t>
  </si>
  <si>
    <t xml:space="preserve">    Saldo Laba</t>
  </si>
  <si>
    <t xml:space="preserve">        Telah Ditentukan Penggunaannya</t>
  </si>
  <si>
    <t xml:space="preserve">        Belum Ditentukan Penggunaannya</t>
  </si>
  <si>
    <t xml:space="preserve">        Total Saldo Laba</t>
  </si>
  <si>
    <t xml:space="preserve">    Kepentingan Non Pengendali</t>
  </si>
  <si>
    <t xml:space="preserve">    Ekuitas Lainnya (Others)</t>
  </si>
  <si>
    <t xml:space="preserve">    TOTAL EKUITAS</t>
  </si>
  <si>
    <t>TOTAL LIABILITAS DAN EKUITAS</t>
  </si>
  <si>
    <t>Saham Beredar (Miliar Lembar)</t>
  </si>
  <si>
    <t>Cek Keseimbangan (Total Aset - Total Liabilitas &amp; Ekuitas)</t>
  </si>
  <si>
    <t>CASH FLOW - PT Rukun Raharja Tbk (RAJA)</t>
  </si>
  <si>
    <t>ARUS KAS DARI AKTIVITAS OPERASI</t>
  </si>
  <si>
    <t>Penerimaan Kas Dari Pelanggan</t>
  </si>
  <si>
    <t>Penerimaan Dari Pemegang Saham</t>
  </si>
  <si>
    <t>Penerimaan Dari Anak Perusahaan</t>
  </si>
  <si>
    <t>Pembayaran Kas Kepada Pemasok Dan Karyawan</t>
  </si>
  <si>
    <t>Pemasok Dan Lain-Lain</t>
  </si>
  <si>
    <t>Karyawan</t>
  </si>
  <si>
    <t>Total Pembayaran Kas Kepada Pemasok Dan Karyawan</t>
  </si>
  <si>
    <t>Penerimaan Bunga</t>
  </si>
  <si>
    <t>Pembayaran Bunga Dan Beban Keuangan</t>
  </si>
  <si>
    <t>Pembayaran Pajak Penghasilan</t>
  </si>
  <si>
    <t>Penerimaan Restitusi Pajak</t>
  </si>
  <si>
    <t>Penerimaan (Pembayaran) Dana Lain-Lain</t>
  </si>
  <si>
    <t>Total Arus Kas Dari Aktivitas Operasi</t>
  </si>
  <si>
    <t>ARUS KAS DARI AKTIVITAS INVESTASI</t>
  </si>
  <si>
    <t>Perolehan Aset Tetap</t>
  </si>
  <si>
    <t>Pelepasan Aset Tetap</t>
  </si>
  <si>
    <t>Perolehan Aset Tak Berwujud</t>
  </si>
  <si>
    <t>Perolehan Properti Pertambangan</t>
  </si>
  <si>
    <t>Pembayaran Uang Muka Proyek</t>
  </si>
  <si>
    <t>Penurunan (Kenaikan) Uang Muka Investasi</t>
  </si>
  <si>
    <t>Pengeluaran Kas Untuk Akuisisi</t>
  </si>
  <si>
    <t>Pelepasan Entitas Anak</t>
  </si>
  <si>
    <t>Laba Atas Penjualan Aset Tetap</t>
  </si>
  <si>
    <t>Penerimaan Dividen</t>
  </si>
  <si>
    <t>Penempatan Investasi Jangka Panjang (1)</t>
  </si>
  <si>
    <t>Penempatan Investasi Jangka Panjang (2)</t>
  </si>
  <si>
    <t>Pembayaran Refundable Deposit</t>
  </si>
  <si>
    <t>Pembayaran Kepada Pihak Non Pengendali</t>
  </si>
  <si>
    <t>Penerimaan Atas Divestasi</t>
  </si>
  <si>
    <t>Pembayaran Biaya Terkait Divestasi</t>
  </si>
  <si>
    <t>Perolehan Entitas Anak</t>
  </si>
  <si>
    <t>Penambahan Investasi Pada Entitas Asosiasi (1)</t>
  </si>
  <si>
    <t>Penambahan Investasi Pada Entitas Asosiasi (2)</t>
  </si>
  <si>
    <t>Penempatan Kas Di Bank Dalam Pembatasan</t>
  </si>
  <si>
    <t>Uang Muka Investasi Dan Akuisisi</t>
  </si>
  <si>
    <t>Pelepasan (Penambahan) Aset Lainnya</t>
  </si>
  <si>
    <t>Total Arus Kas Dari Aktivitas Investasi</t>
  </si>
  <si>
    <t>ARUS KAS DARI AKTIVITAS PENDANAAN</t>
  </si>
  <si>
    <t>(Penambahan) Pencairan Kas Yang Dibatasi</t>
  </si>
  <si>
    <t>Penerimaan Dari (Pembayaran Kepada) Pihak Berelasi</t>
  </si>
  <si>
    <t>Penerimaan Deviden</t>
  </si>
  <si>
    <t>Pembayaran Deviden</t>
  </si>
  <si>
    <t>Pembayaran Dividen Kas Entitas Anak Ke Non Pengendali</t>
  </si>
  <si>
    <t>Penerimaan Kas Dari Penambahan Modal Non Pengendali</t>
  </si>
  <si>
    <t>Pembelian Saham Treasuri</t>
  </si>
  <si>
    <t>Penambahan Modal Hasil Penawaran Umum</t>
  </si>
  <si>
    <t>Penerimaan (Pembayaran) Utang Pihak Berelasi</t>
  </si>
  <si>
    <t>Penambahan (Pengurangan) Utang Jangka Pendek Lainnya</t>
  </si>
  <si>
    <t>Penerimaan Dari Penerbitan Obligasi/Surat Utang</t>
  </si>
  <si>
    <t>Pembayaran Biaya Emisi Dan Penerbitan Saham</t>
  </si>
  <si>
    <t>Pembayaran Deposito</t>
  </si>
  <si>
    <t>Penerimaan Dari Penawaran Umum Saham</t>
  </si>
  <si>
    <t>Pembayaran Biaya Penerbitan Saham</t>
  </si>
  <si>
    <t>Setoran Modal Dari Non Pengendali</t>
  </si>
  <si>
    <t>Penerimaan (Pembayaran) Pinjaman Lainnya</t>
  </si>
  <si>
    <t>Kenaikan (Penurunan) Piutang Pihak Berelasi</t>
  </si>
  <si>
    <t>Utang Dagang</t>
  </si>
  <si>
    <t>Penurunan Utang Lainnya</t>
  </si>
  <si>
    <t>Penerimaan Utang Bank</t>
  </si>
  <si>
    <t>Pembayaran Utang Bank</t>
  </si>
  <si>
    <t>Pembayaran Utang Sewa Pembiayaan</t>
  </si>
  <si>
    <t>Pembayaran Liabilitas Sewa</t>
  </si>
  <si>
    <t>Penerimaan (Pengeluaran) Lainnya</t>
  </si>
  <si>
    <t>Adjustment</t>
  </si>
  <si>
    <t>Total Arus Kas Dari Aktivitas Pendanaan</t>
  </si>
  <si>
    <t>RINGKASAN ARUS KAS</t>
  </si>
  <si>
    <t>Dampak Neto Perubahan Nilai Tukar</t>
  </si>
  <si>
    <t>Kenaikan (Penurunan) Bersih Kas Dan Setara Kas</t>
  </si>
  <si>
    <t>Kas Dan Setara Kas Awal Periode</t>
  </si>
  <si>
    <t>Dampak Reklasifikasi Deposito</t>
  </si>
  <si>
    <t>Dampak Perubahan Kepemilikan Entitas Anak</t>
  </si>
  <si>
    <t>Penyesuaian Kas Setara Dan Setara Kas</t>
  </si>
  <si>
    <t>DCF VALUATION (FREE CASH FLOW TO EQUITY) - PT Rukun Raharja Tbk (RAJA)</t>
  </si>
  <si>
    <t>ASUMSI COST OF EQUITY (CAPM)</t>
  </si>
  <si>
    <t>Nilai</t>
  </si>
  <si>
    <t>Satuan</t>
  </si>
  <si>
    <t>Sumber &amp; Catatan</t>
  </si>
  <si>
    <t>Risk-Free Rate (Rf)</t>
  </si>
  <si>
    <t>%</t>
  </si>
  <si>
    <t>Equity Risk Premium (ERP)</t>
  </si>
  <si>
    <t>Beta (Adjusted, Blume Method)</t>
  </si>
  <si>
    <t>x</t>
  </si>
  <si>
    <t>Cost of Equity (Ke) = Rf + Beta x ERP</t>
  </si>
  <si>
    <t>Terminal Growth Rate (g)</t>
  </si>
  <si>
    <t>PROYEKSI FREE CASH FLOW TO EQUITY (FCFE) 2026F-2030F</t>
  </si>
  <si>
    <t>2026F</t>
  </si>
  <si>
    <t>2027F</t>
  </si>
  <si>
    <t>2028F</t>
  </si>
  <si>
    <t>2029F</t>
  </si>
  <si>
    <t>2030F</t>
  </si>
  <si>
    <t>FCFE (Miliar Rp) [= OCF - Capex, dari sheet Forecast]</t>
  </si>
  <si>
    <t>Periode Diskonto (n, tahun)</t>
  </si>
  <si>
    <t>Faktor Diskonto = 1/(1+Ke)^n</t>
  </si>
  <si>
    <t>PV of FCFE (Miliar Rp)</t>
  </si>
  <si>
    <t>TERMINAL VALUE (GORDON GROWTH)</t>
  </si>
  <si>
    <t>FCFE Tahun 2030F (Miliar Rp)</t>
  </si>
  <si>
    <t>Terminal Value @ 2030 = FCFE2030x(1+g)/(Ke-g)</t>
  </si>
  <si>
    <t>PV of Terminal Value (Miliar Rp)</t>
  </si>
  <si>
    <t>HASIL VALUASI DCF</t>
  </si>
  <si>
    <t>Total PV of FCFE 2026F-2030F (Miliar Rp)</t>
  </si>
  <si>
    <t>Total Equity Value (Miliar Rp)</t>
  </si>
  <si>
    <t>Jumlah Saham Beredar (Miliar Lembar)</t>
  </si>
  <si>
    <t>DCF Value Per Share (Rp)</t>
  </si>
  <si>
    <t>Harga Saham Saat Ini (Rp)</t>
  </si>
  <si>
    <t>Upside / (Downside) vs Harga Saat Ini (%)</t>
  </si>
  <si>
    <t>RELATIVE VALUATION (PE, PBV, EV/EBITDA) - PT Rukun Raharja Tbk (RAJA)</t>
  </si>
  <si>
    <t>MULTIPLE RATA-RATA HISTORIS (12M 2016 - 12M 2025)</t>
  </si>
  <si>
    <t>Rata-Rata 10 Thn</t>
  </si>
  <si>
    <t>PE Ratio (Rata-Rata 10 Tahun)</t>
  </si>
  <si>
    <t>PBV Ratio (Rata-Rata 10 Tahun)</t>
  </si>
  <si>
    <t>EV/EBITDA (Rata-Rata, 2018-2025)</t>
  </si>
  <si>
    <t>DATA PENDUKUNG EV/EBITDA HISTORIS (2018-2025, EBITDA tersedia sejak 2018)</t>
  </si>
  <si>
    <t>2018</t>
  </si>
  <si>
    <t>2019</t>
  </si>
  <si>
    <t>2020</t>
  </si>
  <si>
    <t>2021</t>
  </si>
  <si>
    <t>2022</t>
  </si>
  <si>
    <t>2023</t>
  </si>
  <si>
    <t>2024</t>
  </si>
  <si>
    <t>2025</t>
  </si>
  <si>
    <t>EBITDA (Miliar Rp)</t>
  </si>
  <si>
    <t>EBIT / Laba Usaha (Miliar Rp)</t>
  </si>
  <si>
    <t>EV/EBITDA (x)</t>
  </si>
  <si>
    <t>Rasio EBITDA / EBIT (x)</t>
  </si>
  <si>
    <t>PROYEKSI FY2026F UNTUK RELATIVE VALUATION</t>
  </si>
  <si>
    <t>EPS 2026F (Rp)</t>
  </si>
  <si>
    <t>BVPS 2026F (Rp)</t>
  </si>
  <si>
    <t>EBIT 2026F (Miliar Rp)</t>
  </si>
  <si>
    <t>EBITDA 2026F (Miliar Rp) = EBIT2026F x Rasio EBITDA/EBIT rata-rata</t>
  </si>
  <si>
    <t>Net Debt 2026F (Miliar Rp)</t>
  </si>
  <si>
    <t>IMPLIED VALUE PER SHARE</t>
  </si>
  <si>
    <t>Metode</t>
  </si>
  <si>
    <t>Implied Value (Rp/Saham)</t>
  </si>
  <si>
    <t>Metode PE (Rata-rata PE x EPS 2026F)</t>
  </si>
  <si>
    <t>Metode PBV (Rata-rata PBV x BVPS 2026F)</t>
  </si>
  <si>
    <t>Metode EV/EBITDA ((Rata-rata EV/EBITDA x EBITDA 2026F - Net Debt)/Saham)</t>
  </si>
  <si>
    <t>Rata-Rata Relative Valuation</t>
  </si>
  <si>
    <t>SKENARIO BULL / BASE / BEAR - PT Rukun Raharja Tbk (RAJA)</t>
  </si>
  <si>
    <t>ASUMSI PER SKENARIO</t>
  </si>
  <si>
    <t>Bear</t>
  </si>
  <si>
    <t>Base</t>
  </si>
  <si>
    <t>Bull</t>
  </si>
  <si>
    <t>Pertumbuhan Pendapatan (CAGR, %)</t>
  </si>
  <si>
    <t>Beban Usaha (% Pendapatan, tetap di semua skenario)</t>
  </si>
  <si>
    <t>Cost of Equity / Discount Rate (Ke, %)</t>
  </si>
  <si>
    <t>Terminal Growth Rate (g, %)</t>
  </si>
  <si>
    <t>PROYEKSI 5 TAHUN - SKENARIO BEAR</t>
  </si>
  <si>
    <t>Pendapatan (Miliar Rp)</t>
  </si>
  <si>
    <t>Laba Kotor (Miliar Rp)</t>
  </si>
  <si>
    <t>Beban Usaha (Miliar Rp)</t>
  </si>
  <si>
    <t>FCFE (Miliar Rp) = EBIT x Rasio FCFE/EBIT Forecast</t>
  </si>
  <si>
    <t>Terminal Value @2030 &amp; PV-nya (Miliar Rp)</t>
  </si>
  <si>
    <t>Target Harga Skenario Bear (Rp/Saham)</t>
  </si>
  <si>
    <t>PROYEKSI 5 TAHUN - SKENARIO BASE</t>
  </si>
  <si>
    <t>Target Harga Skenario Base (Rp/Saham)</t>
  </si>
  <si>
    <t>PROYEKSI 5 TAHUN - SKENARIO BULL</t>
  </si>
  <si>
    <t>Target Harga Skenario Bull (Rp/Saham)</t>
  </si>
  <si>
    <t>RINGKASAN TARGET HARGA PER SKENARIO</t>
  </si>
  <si>
    <t>Skenario</t>
  </si>
  <si>
    <t>Target Harga (Rp)</t>
  </si>
  <si>
    <t>Upside/(Downside) vs Harga Saat Ini</t>
  </si>
  <si>
    <t>SENSITIVITY ANALYSIS - DCF VALUE PER SHARE - PT Rukun Raharja Tbk (RAJA)</t>
  </si>
  <si>
    <t>SENSITIVITAS: COST OF EQUITY (Ke) vs TERMINAL GROWTH (g)</t>
  </si>
  <si>
    <t>Nilai wajar per saham (Rp) hasil DCF-FCFE untuk kombinasi Ke dan g. Baris = Ke, Kolom = g. Sel yang disorot kuning adalah kombinasi Base Case (harus sama dengan sheet DCF Valuation).</t>
  </si>
  <si>
    <t>Ke \ g</t>
  </si>
  <si>
    <t>Cek: sel yang disorot kuning (Ke Base, g Base) harus identik dengan "DCF Value Per Share" pada sheet DCF Valuation.</t>
  </si>
  <si>
    <t>Cross-check: DCF Value Per Share (dari sheet DCF Valuation)</t>
  </si>
  <si>
    <t>VALUATION SUMMARY &amp; INVESTMENT RATING - PT Rukun Raharja Tbk (RAJA)</t>
  </si>
  <si>
    <t>RINGKASAN VALUASI (TARGET HARGA OTOMATIS)</t>
  </si>
  <si>
    <t>Nilai (Rp/Saham)</t>
  </si>
  <si>
    <t>Bobot (%)</t>
  </si>
  <si>
    <t>DCF Valuation (FCFE)</t>
  </si>
  <si>
    <t>Relative Valuation (Rata-rata PE/PBV/EV-EBITDA)</t>
  </si>
  <si>
    <t>TARGET HARGA (Weighted Average)</t>
  </si>
  <si>
    <t>Upside / (Downside) terhadap Target (%)</t>
  </si>
  <si>
    <t>TARGET HARGA SKENARIO BULL / BASE / BEAR</t>
  </si>
  <si>
    <t>Upside/(Downside)</t>
  </si>
  <si>
    <t>RATING INVESTASI OTOMATIS</t>
  </si>
  <si>
    <t>Threshold BUY (Upside minimal)</t>
  </si>
  <si>
    <t>Threshold SELL (Downside maksimal)</t>
  </si>
  <si>
    <t>RATING INVESTASI</t>
  </si>
  <si>
    <t>DASHBOARD - PT Rukun Raharja Tbk (RAJA)</t>
  </si>
  <si>
    <t>RINGKASAN INVESTASI</t>
  </si>
  <si>
    <t>Harga Saat Ini (Rp)</t>
  </si>
  <si>
    <t>Rating Investasi</t>
  </si>
  <si>
    <t>Target Bear (Rp)</t>
  </si>
  <si>
    <t>Target Base (Rp)</t>
  </si>
  <si>
    <t>Target Bull (Rp)</t>
  </si>
  <si>
    <t>DATA PENDUKUNG GRAFIK (JANGAN DIHAPUS)</t>
  </si>
  <si>
    <t>Net Margin (%) = Laba Bersih Pemilik / Pendapatan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</si>
</sst>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 B&quot;;\(#,##0.00&quot;) B&quot;;\-"/>
    <numFmt numFmtId="165" formatCode="#,##0.00;\(#,##0.00\);\-"/>
    <numFmt numFmtId="166" formatCode="0.00\x;\(0.00&quot;x)&quot;;\-"/>
    <numFmt numFmtId="167" formatCode="0.00%;\(0.00%\);\-"/>
    <numFmt numFmtId="168" formatCode="#,##0&quot; B&quot;;\(#,##0&quot;) B&quot;;\-"/>
    <numFmt numFmtId="169" formatCode="#,##0;\(#,##0\);\-"/>
    <numFmt numFmtId="170" formatCode="0.0000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theme="1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i/>
      <sz val="8"/>
      <color rgb="FF808080"/>
      <name val="Arial"/>
      <family val="2"/>
      <charset val="1"/>
    </font>
    <font>
      <i/>
      <sz val="10"/>
      <color rgb="FFA6A6A6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6B7280"/>
      <name val="Arial"/>
      <family val="2"/>
      <charset val="1"/>
    </font>
    <font>
      <sz val="11"/>
      <color rgb="FF000000"/>
      <name val="Cambria"/>
      <family val="1"/>
    </font>
    <font>
      <i/>
      <sz val="9"/>
      <color rgb="FF808080"/>
      <name val="Cambria"/>
      <family val="1"/>
    </font>
    <font>
      <i/>
      <sz val="9"/>
      <color rgb="FFCC0000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8000"/>
      <name val="Cambria"/>
      <family val="1"/>
    </font>
    <font>
      <b/>
      <sz val="14"/>
      <name val="Arial"/>
      <family val="2"/>
      <charset val="1"/>
    </font>
    <font>
      <i/>
      <sz val="9"/>
      <color rgb="FF666666"/>
      <name val="Arial"/>
      <family val="2"/>
      <charset val="1"/>
    </font>
    <font>
      <i/>
      <sz val="10"/>
      <name val="Arial"/>
      <family val="2"/>
      <charset val="1"/>
    </font>
    <font>
      <b/>
      <sz val="11"/>
      <name val="Arial"/>
      <family val="2"/>
      <charset val="1"/>
    </font>
    <font>
      <i/>
      <sz val="8"/>
      <color rgb="FF666666"/>
      <name val="Arial"/>
      <family val="2"/>
      <charset val="1"/>
    </font>
    <font>
      <b/>
      <i/>
      <sz val="10"/>
      <color rgb="FF1F2937"/>
      <name val="Arial"/>
      <family val="2"/>
      <charset val="1"/>
    </font>
    <font>
      <b/>
      <i/>
      <sz val="9"/>
      <color rgb="FFB00000"/>
      <name val="Arial"/>
      <family val="2"/>
      <charset val="1"/>
    </font>
    <font>
      <i/>
      <sz val="9"/>
      <color rgb="FFB00000"/>
      <name val="Arial"/>
      <family val="2"/>
      <charset val="1"/>
    </font>
    <font>
      <b/>
      <sz val="9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rgb="FF0000FF"/>
      <name val="Calibri"/>
      <family val="2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808080"/>
      <name val="Cambria"/>
      <family val="1"/>
      <charset val="1"/>
    </font>
    <font>
      <b/>
      <sz val="12"/>
      <color rgb="FF1D4ED8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2F4F6"/>
      </patternFill>
    </fill>
    <fill>
      <patternFill patternType="solid">
        <fgColor theme="1"/>
        <bgColor rgb="FF003300"/>
      </patternFill>
    </fill>
    <fill>
      <patternFill patternType="solid">
        <fgColor rgb="FF374151"/>
        <bgColor rgb="FF1F2937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2F4F6"/>
      </patternFill>
    </fill>
    <fill>
      <patternFill patternType="solid">
        <fgColor rgb="FF1F2937"/>
        <bgColor rgb="FF333300"/>
      </patternFill>
    </fill>
    <fill>
      <patternFill patternType="solid">
        <fgColor rgb="FFE8ECEF"/>
        <bgColor rgb="FFF2F4F6"/>
      </patternFill>
    </fill>
    <fill>
      <patternFill patternType="solid">
        <fgColor rgb="FFF2F4F6"/>
        <bgColor rgb="FFE8ECEF"/>
      </patternFill>
    </fill>
    <fill>
      <patternFill patternType="solid">
        <fgColor theme="0" tint="-0.249977111117893"/>
        <bgColor rgb="FFB3B3B3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hair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1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4" borderId="0" xfId="0" applyFill="1"/>
    <xf numFmtId="0" fontId="6" fillId="0" borderId="0" xfId="0" applyFont="1" applyAlignment="1">
      <alignment horizontal="left" vertical="center" indent="1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 vertical="center" wrapText="1"/>
    </xf>
    <xf numFmtId="164" fontId="8" fillId="0" borderId="1" xfId="0" applyNumberFormat="1" applyFont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0" fontId="10" fillId="0" borderId="0" xfId="0" applyFont="1" applyAlignment="1">
      <alignment horizontal="left" vertical="center"/>
    </xf>
    <xf numFmtId="168" fontId="10" fillId="5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right" vertical="center"/>
    </xf>
    <xf numFmtId="169" fontId="9" fillId="6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top" wrapText="1"/>
    </xf>
    <xf numFmtId="165" fontId="9" fillId="6" borderId="1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67" fontId="9" fillId="6" borderId="1" xfId="0" applyNumberFormat="1" applyFont="1" applyFill="1" applyBorder="1" applyAlignment="1">
      <alignment horizontal="right" vertical="center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6" fillId="0" borderId="0" xfId="0" applyFont="1"/>
    <xf numFmtId="169" fontId="9" fillId="2" borderId="0" xfId="0" applyNumberFormat="1" applyFont="1" applyFill="1"/>
    <xf numFmtId="169" fontId="9" fillId="0" borderId="0" xfId="0" applyNumberFormat="1" applyFont="1"/>
    <xf numFmtId="165" fontId="6" fillId="0" borderId="0" xfId="0" applyNumberFormat="1" applyFont="1"/>
    <xf numFmtId="169" fontId="6" fillId="0" borderId="0" xfId="0" applyNumberFormat="1" applyFont="1"/>
    <xf numFmtId="166" fontId="6" fillId="0" borderId="0" xfId="0" applyNumberFormat="1" applyFont="1"/>
    <xf numFmtId="167" fontId="12" fillId="2" borderId="1" xfId="0" applyNumberFormat="1" applyFont="1" applyFill="1" applyBorder="1" applyAlignment="1">
      <alignment horizontal="right"/>
    </xf>
    <xf numFmtId="167" fontId="9" fillId="2" borderId="1" xfId="0" applyNumberFormat="1" applyFont="1" applyFill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0" fontId="13" fillId="0" borderId="0" xfId="0" applyFont="1"/>
    <xf numFmtId="0" fontId="15" fillId="0" borderId="0" xfId="0" applyFont="1"/>
    <xf numFmtId="168" fontId="17" fillId="0" borderId="0" xfId="0" applyNumberFormat="1" applyFont="1"/>
    <xf numFmtId="0" fontId="12" fillId="0" borderId="0" xfId="0" applyFont="1"/>
    <xf numFmtId="0" fontId="14" fillId="0" borderId="0" xfId="0" applyFont="1"/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168" fontId="9" fillId="0" borderId="1" xfId="0" applyNumberFormat="1" applyFont="1" applyBorder="1"/>
    <xf numFmtId="0" fontId="10" fillId="8" borderId="0" xfId="0" applyFont="1" applyFill="1"/>
    <xf numFmtId="168" fontId="10" fillId="8" borderId="1" xfId="0" applyNumberFormat="1" applyFont="1" applyFill="1" applyBorder="1"/>
    <xf numFmtId="168" fontId="10" fillId="8" borderId="2" xfId="0" applyNumberFormat="1" applyFont="1" applyFill="1" applyBorder="1"/>
    <xf numFmtId="168" fontId="0" fillId="0" borderId="0" xfId="0" applyNumberFormat="1"/>
    <xf numFmtId="0" fontId="20" fillId="0" borderId="0" xfId="0" applyFont="1"/>
    <xf numFmtId="168" fontId="9" fillId="0" borderId="3" xfId="0" applyNumberFormat="1" applyFont="1" applyBorder="1"/>
    <xf numFmtId="168" fontId="9" fillId="0" borderId="4" xfId="0" applyNumberFormat="1" applyFont="1" applyBorder="1"/>
    <xf numFmtId="164" fontId="9" fillId="0" borderId="1" xfId="0" applyNumberFormat="1" applyFont="1" applyBorder="1"/>
    <xf numFmtId="2" fontId="6" fillId="0" borderId="1" xfId="0" applyNumberFormat="1" applyFont="1" applyBorder="1"/>
    <xf numFmtId="0" fontId="22" fillId="0" borderId="0" xfId="0" applyFont="1"/>
    <xf numFmtId="0" fontId="23" fillId="9" borderId="1" xfId="0" applyFont="1" applyFill="1" applyBorder="1"/>
    <xf numFmtId="168" fontId="0" fillId="9" borderId="1" xfId="0" applyNumberFormat="1" applyFill="1" applyBorder="1"/>
    <xf numFmtId="0" fontId="24" fillId="0" borderId="0" xfId="0" applyFont="1"/>
    <xf numFmtId="169" fontId="25" fillId="0" borderId="1" xfId="0" applyNumberFormat="1" applyFont="1" applyBorder="1"/>
    <xf numFmtId="0" fontId="26" fillId="0" borderId="0" xfId="0" applyFont="1"/>
    <xf numFmtId="0" fontId="27" fillId="10" borderId="0" xfId="0" applyFont="1" applyFill="1" applyAlignment="1">
      <alignment horizontal="left" vertical="center"/>
    </xf>
    <xf numFmtId="0" fontId="0" fillId="10" borderId="0" xfId="0" applyFill="1"/>
    <xf numFmtId="168" fontId="9" fillId="0" borderId="1" xfId="0" applyNumberFormat="1" applyFont="1" applyBorder="1" applyAlignment="1">
      <alignment horizontal="right"/>
    </xf>
    <xf numFmtId="0" fontId="10" fillId="0" borderId="0" xfId="0" applyFont="1" applyAlignment="1">
      <alignment horizontal="left" vertical="center" indent="1"/>
    </xf>
    <xf numFmtId="168" fontId="28" fillId="0" borderId="0" xfId="0" applyNumberFormat="1" applyFont="1"/>
    <xf numFmtId="0" fontId="20" fillId="0" borderId="0" xfId="0" applyFont="1" applyAlignment="1">
      <alignment horizontal="left" vertical="center" indent="2"/>
    </xf>
    <xf numFmtId="0" fontId="10" fillId="10" borderId="0" xfId="0" applyFont="1" applyFill="1" applyAlignment="1">
      <alignment horizontal="left" vertical="center" indent="2"/>
    </xf>
    <xf numFmtId="168" fontId="10" fillId="10" borderId="1" xfId="0" applyNumberFormat="1" applyFont="1" applyFill="1" applyBorder="1" applyAlignment="1">
      <alignment horizontal="right"/>
    </xf>
    <xf numFmtId="0" fontId="10" fillId="10" borderId="0" xfId="0" applyFont="1" applyFill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16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6" fontId="29" fillId="0" borderId="0" xfId="0" applyNumberFormat="1" applyFont="1" applyAlignment="1">
      <alignment horizontal="right" vertical="center"/>
    </xf>
    <xf numFmtId="167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168" fontId="29" fillId="0" borderId="0" xfId="0" applyNumberFormat="1" applyFont="1" applyAlignment="1">
      <alignment horizontal="right" vertical="center"/>
    </xf>
    <xf numFmtId="169" fontId="30" fillId="0" borderId="0" xfId="0" applyNumberFormat="1" applyFont="1" applyAlignment="1">
      <alignment horizontal="right" vertical="center"/>
    </xf>
    <xf numFmtId="170" fontId="30" fillId="0" borderId="0" xfId="0" applyNumberFormat="1" applyFont="1" applyAlignment="1">
      <alignment horizontal="right" vertical="center"/>
    </xf>
    <xf numFmtId="168" fontId="30" fillId="0" borderId="0" xfId="0" applyNumberFormat="1" applyFont="1" applyAlignment="1">
      <alignment horizontal="right" vertical="center"/>
    </xf>
    <xf numFmtId="4" fontId="29" fillId="0" borderId="0" xfId="0" applyNumberFormat="1" applyFont="1" applyAlignment="1">
      <alignment horizontal="right" vertical="center"/>
    </xf>
    <xf numFmtId="165" fontId="30" fillId="11" borderId="0" xfId="0" applyNumberFormat="1" applyFont="1" applyFill="1" applyAlignment="1">
      <alignment horizontal="right" vertical="center"/>
    </xf>
    <xf numFmtId="165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166" fontId="30" fillId="0" borderId="0" xfId="0" applyNumberFormat="1" applyFont="1" applyAlignment="1">
      <alignment horizontal="right" vertical="center"/>
    </xf>
    <xf numFmtId="0" fontId="30" fillId="0" borderId="0" xfId="0" applyFont="1"/>
    <xf numFmtId="165" fontId="30" fillId="0" borderId="0" xfId="0" applyNumberFormat="1" applyFont="1" applyAlignment="1">
      <alignment horizontal="right" vertical="center"/>
    </xf>
    <xf numFmtId="167" fontId="29" fillId="0" borderId="0" xfId="0" applyNumberFormat="1" applyFont="1" applyAlignment="1">
      <alignment horizontal="right" vertical="center"/>
    </xf>
    <xf numFmtId="0" fontId="31" fillId="0" borderId="0" xfId="0" applyFont="1"/>
    <xf numFmtId="0" fontId="4" fillId="3" borderId="0" xfId="0" applyFont="1" applyFill="1" applyAlignment="1">
      <alignment horizontal="left" vertical="center" indent="1"/>
    </xf>
    <xf numFmtId="167" fontId="4" fillId="3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5" fontId="32" fillId="11" borderId="0" xfId="0" applyNumberFormat="1" applyFont="1" applyFill="1" applyAlignment="1">
      <alignment horizontal="center" vertical="center"/>
    </xf>
    <xf numFmtId="167" fontId="32" fillId="11" borderId="0" xfId="0" applyNumberFormat="1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168" fontId="1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center"/>
    </xf>
    <xf numFmtId="0" fontId="7" fillId="0" borderId="0" xfId="0" applyFont="1" applyAlignment="1">
      <alignment vertical="top" wrapText="1"/>
    </xf>
    <xf numFmtId="0" fontId="14" fillId="0" borderId="0" xfId="0" applyFont="1" applyAlignment="1">
      <alignment horizontal="left" vertical="top" wrapText="1"/>
    </xf>
    <xf numFmtId="0" fontId="18" fillId="0" borderId="0" xfId="0" applyFont="1"/>
    <xf numFmtId="0" fontId="19" fillId="0" borderId="0" xfId="0" applyFont="1"/>
    <xf numFmtId="0" fontId="21" fillId="0" borderId="0" xfId="0" applyFont="1"/>
    <xf numFmtId="0" fontId="5" fillId="4" borderId="0" xfId="0" applyFont="1" applyFill="1"/>
    <xf numFmtId="0" fontId="18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8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AA64F"/>
      <rgbColor rgb="FF800080"/>
      <rgbColor rgb="FF6B7280"/>
      <rgbColor rgb="FFBFBFBF"/>
      <rgbColor rgb="FF808080"/>
      <rgbColor rgb="FF93A9CE"/>
      <rgbColor rgb="FFAB4744"/>
      <rgbColor rgb="FFFFF2CC"/>
      <rgbColor rgb="FFE8ECEF"/>
      <rgbColor rgb="FF660066"/>
      <rgbColor rgb="FFDC853E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D9E1F2"/>
      <rgbColor rgb="FFFFFF99"/>
      <rgbColor rgb="FFB3B3B3"/>
      <rgbColor rgb="FFD09493"/>
      <rgbColor rgb="FFA99BBD"/>
      <rgbColor rgb="FFB8CD97"/>
      <rgbColor rgb="FF4672A8"/>
      <rgbColor rgb="FF33CCCC"/>
      <rgbColor rgb="FFA6A6A6"/>
      <rgbColor rgb="FFFFCC00"/>
      <rgbColor rgb="FFFF9900"/>
      <rgbColor rgb="FFFF6600"/>
      <rgbColor rgb="FF725990"/>
      <rgbColor rgb="FF9CA3AF"/>
      <rgbColor rgb="FF003366"/>
      <rgbColor rgb="FF4299B0"/>
      <rgbColor rgb="FF003300"/>
      <rgbColor rgb="FF333300"/>
      <rgbColor rgb="FF993300"/>
      <rgbColor rgb="FF6666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Revenue / Pendapatan (Miliar 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Statement'!$B$5</c:f>
              <c:numCache>
                <c:formatCode>#,##0" B";\(#,##0") B";\-</c:formatCode>
                <c:ptCount val="1"/>
                <c:pt idx="0">
                  <c:v>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7-CB4C-A714-4A0F8AB35129}"/>
            </c:ext>
          </c:extLst>
        </c:ser>
        <c:ser>
          <c:idx val="1"/>
          <c:order val="1"/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Statement'!$C$5</c:f>
              <c:numCache>
                <c:formatCode>#,##0" B";\(#,##0") B";\-</c:formatCode>
                <c:ptCount val="1"/>
                <c:pt idx="0">
                  <c:v>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7-CB4C-A714-4A0F8AB35129}"/>
            </c:ext>
          </c:extLst>
        </c:ser>
        <c:ser>
          <c:idx val="2"/>
          <c:order val="2"/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Statement'!$D$5</c:f>
              <c:numCache>
                <c:formatCode>#,##0" B";\(#,##0") B";\-</c:formatCode>
                <c:ptCount val="1"/>
                <c:pt idx="0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7-CB4C-A714-4A0F8AB35129}"/>
            </c:ext>
          </c:extLst>
        </c:ser>
        <c:ser>
          <c:idx val="3"/>
          <c:order val="3"/>
          <c:spPr>
            <a:solidFill>
              <a:srgbClr val="72599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Statement'!$E$5</c:f>
              <c:numCache>
                <c:formatCode>#,##0" B";\(#,##0") B";\-</c:formatCode>
                <c:ptCount val="1"/>
                <c:pt idx="0">
                  <c:v>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87-CB4C-A714-4A0F8AB35129}"/>
            </c:ext>
          </c:extLst>
        </c:ser>
        <c:ser>
          <c:idx val="4"/>
          <c:order val="4"/>
          <c:spPr>
            <a:solidFill>
              <a:srgbClr val="4299B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Statement'!$F$5</c:f>
              <c:numCache>
                <c:formatCode>#,##0" B";\(#,##0") B";\-</c:formatCode>
                <c:ptCount val="1"/>
                <c:pt idx="0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7-CB4C-A714-4A0F8AB35129}"/>
            </c:ext>
          </c:extLst>
        </c:ser>
        <c:ser>
          <c:idx val="5"/>
          <c:order val="5"/>
          <c:spPr>
            <a:solidFill>
              <a:srgbClr val="DC853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Statement'!$G$5</c:f>
              <c:numCache>
                <c:formatCode>#,##0" B";\(#,##0") B";\-</c:formatCode>
                <c:ptCount val="1"/>
                <c:pt idx="0">
                  <c:v>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87-CB4C-A714-4A0F8AB35129}"/>
            </c:ext>
          </c:extLst>
        </c:ser>
        <c:ser>
          <c:idx val="6"/>
          <c:order val="6"/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Statement'!$H$5</c:f>
              <c:numCache>
                <c:formatCode>#,##0" B";\(#,##0") B";\-</c:formatCode>
                <c:ptCount val="1"/>
                <c:pt idx="0">
                  <c:v>1885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87-CB4C-A714-4A0F8AB35129}"/>
            </c:ext>
          </c:extLst>
        </c:ser>
        <c:ser>
          <c:idx val="7"/>
          <c:order val="7"/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Statement'!$I$5</c:f>
              <c:numCache>
                <c:formatCode>#,##0" B";\(#,##0") B";\-</c:formatCode>
                <c:ptCount val="1"/>
                <c:pt idx="0">
                  <c:v>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87-CB4C-A714-4A0F8AB35129}"/>
            </c:ext>
          </c:extLst>
        </c:ser>
        <c:ser>
          <c:idx val="8"/>
          <c:order val="8"/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Statement'!$J$5</c:f>
              <c:numCache>
                <c:formatCode>#,##0" B";\(#,##0") B";\-</c:formatCode>
                <c:ptCount val="1"/>
                <c:pt idx="0">
                  <c:v>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87-CB4C-A714-4A0F8AB35129}"/>
            </c:ext>
          </c:extLst>
        </c:ser>
        <c:ser>
          <c:idx val="9"/>
          <c:order val="9"/>
          <c:spPr>
            <a:solidFill>
              <a:srgbClr val="A99B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'Income Statement'!$B$4:$K$4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'Income Statement'!$K$5</c:f>
              <c:numCache>
                <c:formatCode>#,##0" B";\(#,##0") B";\-</c:formatCode>
                <c:ptCount val="1"/>
                <c:pt idx="0">
                  <c:v>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87-CB4C-A714-4A0F8AB35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86616"/>
        <c:axId val="92621856"/>
      </c:barChart>
      <c:catAx>
        <c:axId val="24286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21856"/>
        <c:crosses val="autoZero"/>
        <c:auto val="1"/>
        <c:lblAlgn val="ctr"/>
        <c:lblOffset val="100"/>
        <c:noMultiLvlLbl val="0"/>
      </c:catAx>
      <c:valAx>
        <c:axId val="926218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&quot; B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86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EPS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Statement'!$B$43</c:f>
              <c:numCache>
                <c:formatCode>0.00</c:formatCode>
                <c:ptCount val="1"/>
                <c:pt idx="0">
                  <c:v>21.323529411764707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6-EC47-9C21-39F48192465C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Statement'!$C$43</c:f>
              <c:numCache>
                <c:formatCode>0.00</c:formatCode>
                <c:ptCount val="1"/>
                <c:pt idx="0">
                  <c:v>38.235294117647058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6-EC47-9C21-39F48192465C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Statement'!$D$43</c:f>
              <c:numCache>
                <c:formatCode>0.00</c:formatCode>
                <c:ptCount val="1"/>
                <c:pt idx="0">
                  <c:v>38.534278959810869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6-EC47-9C21-39F48192465C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Statement'!$E$43</c:f>
              <c:numCache>
                <c:formatCode>0.00</c:formatCode>
                <c:ptCount val="1"/>
                <c:pt idx="0">
                  <c:v>19.148936170212764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6-EC47-9C21-39F48192465C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Statement'!$F$43</c:f>
              <c:numCache>
                <c:formatCode>0.00</c:formatCode>
                <c:ptCount val="1"/>
                <c:pt idx="0">
                  <c:v>4.7281323877068555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26-EC47-9C21-39F48192465C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Statement'!$G$43</c:f>
              <c:numCache>
                <c:formatCode>0.00</c:formatCode>
                <c:ptCount val="1"/>
                <c:pt idx="0">
                  <c:v>7.5650118203309686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26-EC47-9C21-39F48192465C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Statement'!$H$43</c:f>
              <c:numCache>
                <c:formatCode>0.00</c:formatCode>
                <c:ptCount val="1"/>
                <c:pt idx="0">
                  <c:v>30.969267139479904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26-EC47-9C21-39F48192465C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Statement'!$I$43</c:f>
              <c:numCache>
                <c:formatCode>0.00</c:formatCode>
                <c:ptCount val="1"/>
                <c:pt idx="0">
                  <c:v>92.43498817966902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26-EC47-9C21-39F48192465C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Statement'!$J$43</c:f>
              <c:numCache>
                <c:formatCode>0.00</c:formatCode>
                <c:ptCount val="1"/>
                <c:pt idx="0">
                  <c:v>95.744680851063819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26-EC47-9C21-39F48192465C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'Income Statement'!$K$43</c:f>
              <c:numCache>
                <c:formatCode>0.00</c:formatCode>
                <c:ptCount val="1"/>
                <c:pt idx="0">
                  <c:v>106.1465721040189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26-EC47-9C21-39F48192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81800"/>
        <c:axId val="12113561"/>
      </c:barChart>
      <c:catAx>
        <c:axId val="24781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13561"/>
        <c:crosses val="autoZero"/>
        <c:auto val="1"/>
        <c:lblAlgn val="ctr"/>
        <c:lblOffset val="100"/>
        <c:noMultiLvlLbl val="0"/>
      </c:catAx>
      <c:valAx>
        <c:axId val="121135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81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Net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Dashboard!$B$10</c:f>
              <c:numCache>
                <c:formatCode>0.00%;\(0.00%\);\-</c:formatCode>
                <c:ptCount val="1"/>
                <c:pt idx="0">
                  <c:v>3.4981905910735828E-2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4-8E4D-A6D4-CD4AD1A9E11D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Dashboard!$C$10</c:f>
              <c:numCache>
                <c:formatCode>0.00%;\(0.00%\);\-</c:formatCode>
                <c:ptCount val="1"/>
                <c:pt idx="0">
                  <c:v>7.8273958855995987E-2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4-8E4D-A6D4-CD4AD1A9E11D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Dashboard!$D$10</c:f>
              <c:numCache>
                <c:formatCode>0.00%;\(0.00%\);\-</c:formatCode>
                <c:ptCount val="1"/>
                <c:pt idx="0">
                  <c:v>9.6850861556743911E-2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4-8E4D-A6D4-CD4AD1A9E11D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Dashboard!$E$10</c:f>
              <c:numCache>
                <c:formatCode>0.00%;\(0.00%\);\-</c:formatCode>
                <c:ptCount val="1"/>
                <c:pt idx="0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4-8E4D-A6D4-CD4AD1A9E11D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Dashboard!$F$10</c:f>
              <c:numCache>
                <c:formatCode>0.00%;\(0.00%\);\-</c:formatCode>
                <c:ptCount val="1"/>
                <c:pt idx="0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34-8E4D-A6D4-CD4AD1A9E11D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Dashboard!$G$10</c:f>
              <c:numCache>
                <c:formatCode>0.00%;\(0.00%\);\-</c:formatCode>
                <c:ptCount val="1"/>
                <c:pt idx="0">
                  <c:v>2.2775800711743774E-2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34-8E4D-A6D4-CD4AD1A9E11D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Dashboard!$H$10</c:f>
              <c:numCache>
                <c:formatCode>0.00%;\(0.00%\);\-</c:formatCode>
                <c:ptCount val="1"/>
                <c:pt idx="0">
                  <c:v>6.9496021220159146E-2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34-8E4D-A6D4-CD4AD1A9E11D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Dashboard!$I$10</c:f>
              <c:numCache>
                <c:formatCode>0.00%;\(0.00%\);\-</c:formatCode>
                <c:ptCount val="1"/>
                <c:pt idx="0">
                  <c:v>0.12580437580437581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34-8E4D-A6D4-CD4AD1A9E11D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Dashboard!$J$10</c:f>
              <c:numCache>
                <c:formatCode>0.00%;\(0.00%\);\-</c:formatCode>
                <c:ptCount val="1"/>
                <c:pt idx="0">
                  <c:v>0.10042152243987107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34-8E4D-A6D4-CD4AD1A9E11D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Dashboard!$B$9:$K$9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Dashboard!$K$10</c:f>
              <c:numCache>
                <c:formatCode>0.00%;\(0.00%\);\-</c:formatCode>
                <c:ptCount val="1"/>
                <c:pt idx="0">
                  <c:v>0.10218479745106963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34-8E4D-A6D4-CD4AD1A9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29932"/>
        <c:axId val="63099041"/>
      </c:barChart>
      <c:catAx>
        <c:axId val="251299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99041"/>
        <c:crosses val="autoZero"/>
        <c:auto val="1"/>
        <c:lblAlgn val="ctr"/>
        <c:lblOffset val="100"/>
        <c:noMultiLvlLbl val="0"/>
      </c:catAx>
      <c:valAx>
        <c:axId val="630990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29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ROE - Return on Equity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Ratio'!$B$12</c:f>
              <c:numCache>
                <c:formatCode>0.00%;\(0.00%\);\-</c:formatCode>
                <c:ptCount val="1"/>
                <c:pt idx="0">
                  <c:v>9.3952483801295894E-2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4-754A-AA63-EE06B1867737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Ratio'!$C$12</c:f>
              <c:numCache>
                <c:formatCode>0.00%;\(0.00%\);\-</c:formatCode>
                <c:ptCount val="1"/>
                <c:pt idx="0">
                  <c:v>0.14511627906976743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4-754A-AA63-EE06B1867737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Ratio'!$D$12</c:f>
              <c:numCache>
                <c:formatCode>0.00%;\(0.00%\);\-</c:formatCode>
                <c:ptCount val="1"/>
                <c:pt idx="0">
                  <c:v>0.12264860797592174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4-754A-AA63-EE06B1867737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Ratio'!$E$12</c:f>
              <c:numCache>
                <c:formatCode>0.00%;\(0.00%\);\-</c:formatCode>
                <c:ptCount val="1"/>
                <c:pt idx="0">
                  <c:v>5.7569296375266525E-2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04-754A-AA63-EE06B1867737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Ratio'!$F$12</c:f>
              <c:numCache>
                <c:formatCode>0.00%;\(0.00%\);\-</c:formatCode>
                <c:ptCount val="1"/>
                <c:pt idx="0">
                  <c:v>1.4054813773717497E-2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04-754A-AA63-EE06B1867737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Ratio'!$G$12</c:f>
              <c:numCache>
                <c:formatCode>0.00%;\(0.00%\);\-</c:formatCode>
                <c:ptCount val="1"/>
                <c:pt idx="0">
                  <c:v>2.202339986235375E-2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04-754A-AA63-EE06B1867737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Ratio'!$H$12</c:f>
              <c:numCache>
                <c:formatCode>0.00%;\(0.00%\);\-</c:formatCode>
                <c:ptCount val="1"/>
                <c:pt idx="0">
                  <c:v>7.7331759149940962E-2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04-754A-AA63-EE06B1867737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Ratio'!$I$12</c:f>
              <c:numCache>
                <c:formatCode>0.00%;\(0.00%\);\-</c:formatCode>
                <c:ptCount val="1"/>
                <c:pt idx="0">
                  <c:v>0.19540229885057472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04-754A-AA63-EE06B1867737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Ratio'!$J$12</c:f>
              <c:numCache>
                <c:formatCode>0.00%;\(0.00%\);\-</c:formatCode>
                <c:ptCount val="1"/>
                <c:pt idx="0">
                  <c:v>0.17270788912579957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04-754A-AA63-EE06B1867737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Ratio'!$K$12</c:f>
              <c:numCache>
                <c:formatCode>0.00%;\(0.00%\);\-</c:formatCode>
                <c:ptCount val="1"/>
                <c:pt idx="0">
                  <c:v>0.12601740106651699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04-754A-AA63-EE06B1867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46422"/>
        <c:axId val="87571615"/>
      </c:barChart>
      <c:catAx>
        <c:axId val="719464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71615"/>
        <c:crosses val="autoZero"/>
        <c:auto val="1"/>
        <c:lblAlgn val="ctr"/>
        <c:lblOffset val="100"/>
        <c:noMultiLvlLbl val="0"/>
      </c:catAx>
      <c:valAx>
        <c:axId val="87571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464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ROA - Return on Assets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Ratio'!$B$11</c:f>
              <c:numCache>
                <c:formatCode>0.00%;\(0.00%\);\-</c:formatCode>
                <c:ptCount val="1"/>
                <c:pt idx="0">
                  <c:v>4.459251665812404E-2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7-054D-829F-C29148825201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Ratio'!$C$11</c:f>
              <c:numCache>
                <c:formatCode>0.00%;\(0.00%\);\-</c:formatCode>
                <c:ptCount val="1"/>
                <c:pt idx="0">
                  <c:v>7.6508092202059827E-2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7-054D-829F-C29148825201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Ratio'!$D$11</c:f>
              <c:numCache>
                <c:formatCode>0.00%;\(0.00%\);\-</c:formatCode>
                <c:ptCount val="1"/>
                <c:pt idx="0">
                  <c:v>5.8908565233104448E-2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7-054D-829F-C29148825201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Ratio'!$E$11</c:f>
              <c:numCache>
                <c:formatCode>0.00%;\(0.00%\);\-</c:formatCode>
                <c:ptCount val="1"/>
                <c:pt idx="0">
                  <c:v>3.2296650717703351E-2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7-054D-829F-C29148825201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Ratio'!$F$11</c:f>
              <c:numCache>
                <c:formatCode>0.00%;\(0.00%\);\-</c:formatCode>
                <c:ptCount val="1"/>
                <c:pt idx="0">
                  <c:v>8.507018290089324E-3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67-054D-829F-C29148825201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Ratio'!$G$11</c:f>
              <c:numCache>
                <c:formatCode>0.00%;\(0.00%\);\-</c:formatCode>
                <c:ptCount val="1"/>
                <c:pt idx="0">
                  <c:v>9.1272104962920701E-3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67-054D-829F-C29148825201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Ratio'!$H$11</c:f>
              <c:numCache>
                <c:formatCode>0.00%;\(0.00%\);\-</c:formatCode>
                <c:ptCount val="1"/>
                <c:pt idx="0">
                  <c:v>3.2250123092072869E-2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67-054D-829F-C29148825201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Ratio'!$I$11</c:f>
              <c:numCache>
                <c:formatCode>0.00%;\(0.00%\);\-</c:formatCode>
                <c:ptCount val="1"/>
                <c:pt idx="0">
                  <c:v>7.7059519117067404E-2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67-054D-829F-C29148825201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Ratio'!$J$11</c:f>
              <c:numCache>
                <c:formatCode>0.00%;\(0.00%\);\-</c:formatCode>
                <c:ptCount val="1"/>
                <c:pt idx="0">
                  <c:v>7.5644378035113938E-2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67-054D-829F-C29148825201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Ratio'!$K$11</c:f>
              <c:numCache>
                <c:formatCode>0.00%;\(0.00%\);\-</c:formatCode>
                <c:ptCount val="1"/>
                <c:pt idx="0">
                  <c:v>5.6223390934134733E-2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67-054D-829F-C29148825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75356"/>
        <c:axId val="89565345"/>
      </c:barChart>
      <c:catAx>
        <c:axId val="27975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65345"/>
        <c:crosses val="autoZero"/>
        <c:auto val="1"/>
        <c:lblAlgn val="ctr"/>
        <c:lblOffset val="100"/>
        <c:noMultiLvlLbl val="0"/>
      </c:catAx>
      <c:valAx>
        <c:axId val="895653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75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Debt to Equity Ratio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Ratio'!$B$32</c:f>
              <c:numCache>
                <c:formatCode>0.00\x;\(0.00"x)";\-</c:formatCode>
                <c:ptCount val="1"/>
                <c:pt idx="0">
                  <c:v>0.65226781857451399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D-674D-ABA4-1965BA17FC10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Ratio'!$C$32</c:f>
              <c:numCache>
                <c:formatCode>0.00\x;\(0.00"x)";\-</c:formatCode>
                <c:ptCount val="1"/>
                <c:pt idx="0">
                  <c:v>0.18604651162790697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D-674D-ABA4-1965BA17FC10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Ratio'!$D$32</c:f>
              <c:numCache>
                <c:formatCode>0.00\x;\(0.00"x)";\-</c:formatCode>
                <c:ptCount val="1"/>
                <c:pt idx="0">
                  <c:v>0.51091045899172305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D-674D-ABA4-1965BA17FC10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Ratio'!$E$32</c:f>
              <c:numCache>
                <c:formatCode>0.00\x;\(0.00"x)";\-</c:formatCode>
                <c:ptCount val="1"/>
                <c:pt idx="0">
                  <c:v>0.44207533759772566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D-674D-ABA4-1965BA17FC10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Ratio'!$F$32</c:f>
              <c:numCache>
                <c:formatCode>0.00\x;\(0.00"x)";\-</c:formatCode>
                <c:ptCount val="1"/>
                <c:pt idx="0">
                  <c:v>0.3085031623330991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8D-674D-ABA4-1965BA17FC10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Ratio'!$G$32</c:f>
              <c:numCache>
                <c:formatCode>0.00\x;\(0.00"x)";\-</c:formatCode>
                <c:ptCount val="1"/>
                <c:pt idx="0">
                  <c:v>1.0578114246386785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8D-674D-ABA4-1965BA17FC10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Ratio'!$H$32</c:f>
              <c:numCache>
                <c:formatCode>0.00\x;\(0.00"x)";\-</c:formatCode>
                <c:ptCount val="1"/>
                <c:pt idx="0">
                  <c:v>1.0153482880755609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8D-674D-ABA4-1965BA17FC10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Ratio'!$I$32</c:f>
              <c:numCache>
                <c:formatCode>0.00\x;\(0.00"x)";\-</c:formatCode>
                <c:ptCount val="1"/>
                <c:pt idx="0">
                  <c:v>1.0484757621189404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8D-674D-ABA4-1965BA17FC10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Ratio'!$J$32</c:f>
              <c:numCache>
                <c:formatCode>0.00\x;\(0.00"x)";\-</c:formatCode>
                <c:ptCount val="1"/>
                <c:pt idx="0">
                  <c:v>0.78678038379530912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8D-674D-ABA4-1965BA17FC10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Ratio'!$B$4:$K$4</c:f>
              <c:strCache>
                <c:ptCount val="10"/>
                <c:pt idx="0">
                  <c:v>12M 2016</c:v>
                </c:pt>
                <c:pt idx="1">
                  <c:v>12M 2017</c:v>
                </c:pt>
                <c:pt idx="2">
                  <c:v>12M 2018</c:v>
                </c:pt>
                <c:pt idx="3">
                  <c:v>12M 2019</c:v>
                </c:pt>
                <c:pt idx="4">
                  <c:v>12M 2020</c:v>
                </c:pt>
                <c:pt idx="5">
                  <c:v>12M 2021</c:v>
                </c:pt>
                <c:pt idx="6">
                  <c:v>12M 2022</c:v>
                </c:pt>
                <c:pt idx="7">
                  <c:v>12M 2023</c:v>
                </c:pt>
                <c:pt idx="8">
                  <c:v>12M 2024</c:v>
                </c:pt>
                <c:pt idx="9">
                  <c:v>12M 2025</c:v>
                </c:pt>
              </c:strCache>
            </c:strRef>
          </c:cat>
          <c:val>
            <c:numRef>
              <c:f>'Key Ratio'!$K$32</c:f>
              <c:numCache>
                <c:formatCode>0.00\x;\(0.00"x)";\-</c:formatCode>
                <c:ptCount val="1"/>
                <c:pt idx="0">
                  <c:v>0.71484703901206847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8D-674D-ABA4-1965BA17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1286"/>
        <c:axId val="88868121"/>
      </c:barChart>
      <c:catAx>
        <c:axId val="46212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68121"/>
        <c:crosses val="autoZero"/>
        <c:auto val="1"/>
        <c:lblAlgn val="ctr"/>
        <c:lblOffset val="100"/>
        <c:noMultiLvlLbl val="0"/>
      </c:catAx>
      <c:valAx>
        <c:axId val="88868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1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48240</xdr:rowOff>
    </xdr:from>
    <xdr:to>
      <xdr:col>4</xdr:col>
      <xdr:colOff>743760</xdr:colOff>
      <xdr:row>24</xdr:row>
      <xdr:rowOff>77040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48240</xdr:rowOff>
    </xdr:from>
    <xdr:to>
      <xdr:col>11</xdr:col>
      <xdr:colOff>320760</xdr:colOff>
      <xdr:row>24</xdr:row>
      <xdr:rowOff>77040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48600</xdr:rowOff>
    </xdr:from>
    <xdr:to>
      <xdr:col>4</xdr:col>
      <xdr:colOff>743760</xdr:colOff>
      <xdr:row>40</xdr:row>
      <xdr:rowOff>77040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26</xdr:row>
      <xdr:rowOff>48600</xdr:rowOff>
    </xdr:from>
    <xdr:to>
      <xdr:col>11</xdr:col>
      <xdr:colOff>320760</xdr:colOff>
      <xdr:row>40</xdr:row>
      <xdr:rowOff>77040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48240</xdr:rowOff>
    </xdr:from>
    <xdr:to>
      <xdr:col>4</xdr:col>
      <xdr:colOff>743760</xdr:colOff>
      <xdr:row>56</xdr:row>
      <xdr:rowOff>77040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42</xdr:row>
      <xdr:rowOff>48240</xdr:rowOff>
    </xdr:from>
    <xdr:to>
      <xdr:col>11</xdr:col>
      <xdr:colOff>320760</xdr:colOff>
      <xdr:row>56</xdr:row>
      <xdr:rowOff>77040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2" customWidth="1"/>
    <col min="2" max="11" width="12" customWidth="1"/>
    <col min="13" max="13" width="55" customWidth="1"/>
  </cols>
  <sheetData>
    <row r="1" spans="1:13" ht="24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3" ht="18" customHeight="1" x14ac:dyDescent="0.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3" ht="18" customHeight="1" x14ac:dyDescent="0.2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M4" s="5" t="s">
        <v>12</v>
      </c>
    </row>
    <row r="5" spans="1:13" ht="19.5" customHeight="1" x14ac:dyDescent="0.2">
      <c r="A5" s="2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3" ht="15" customHeight="1" x14ac:dyDescent="0.2">
      <c r="A6" s="7" t="s">
        <v>14</v>
      </c>
      <c r="B6" s="8">
        <f>INDEX('Income Statement'!$B$42:$K$42,MATCH(B$4,'Income Statement'!$B$4:$K$4,0))</f>
        <v>4.08</v>
      </c>
      <c r="C6" s="8">
        <f>INDEX('Income Statement'!$B$42:$K$42,MATCH(C$4,'Income Statement'!$B$4:$K$4,0))</f>
        <v>4.08</v>
      </c>
      <c r="D6" s="8">
        <f>INDEX('Income Statement'!$B$42:$K$42,MATCH(D$4,'Income Statement'!$B$4:$K$4,0))</f>
        <v>4.2300000000000004</v>
      </c>
      <c r="E6" s="8">
        <f>INDEX('Income Statement'!$B$42:$K$42,MATCH(E$4,'Income Statement'!$B$4:$K$4,0))</f>
        <v>4.2300000000000004</v>
      </c>
      <c r="F6" s="8">
        <f>INDEX('Income Statement'!$B$42:$K$42,MATCH(F$4,'Income Statement'!$B$4:$K$4,0))</f>
        <v>4.2300000000000004</v>
      </c>
      <c r="G6" s="8">
        <f>INDEX('Income Statement'!$B$42:$K$42,MATCH(G$4,'Income Statement'!$B$4:$K$4,0))</f>
        <v>4.2300000000000004</v>
      </c>
      <c r="H6" s="8">
        <f>INDEX('Income Statement'!$B$42:$K$42,MATCH(H$4,'Income Statement'!$B$4:$K$4,0))</f>
        <v>4.2300000000000004</v>
      </c>
      <c r="I6" s="8">
        <f>INDEX('Income Statement'!$B$42:$K$42,MATCH(I$4,'Income Statement'!$B$4:$K$4,0))</f>
        <v>4.2300000000000004</v>
      </c>
      <c r="J6" s="8">
        <f>INDEX('Income Statement'!$B$42:$K$42,MATCH(J$4,'Income Statement'!$B$4:$K$4,0))</f>
        <v>4.2300000000000004</v>
      </c>
      <c r="K6" s="8">
        <f>INDEX('Income Statement'!$B$42:$K$42,MATCH(K$4,'Income Statement'!$B$4:$K$4,0))</f>
        <v>4.2300000000000004</v>
      </c>
    </row>
    <row r="7" spans="1:13" ht="15" customHeight="1" x14ac:dyDescent="0.2">
      <c r="A7" s="7" t="s">
        <v>15</v>
      </c>
      <c r="B7" s="9">
        <f>INDEX('Income Statement'!$B$30:$K$30,MATCH(B$4,'Income Statement'!$B$4:$K$4,0))/B6</f>
        <v>21.323529411764707</v>
      </c>
      <c r="C7" s="9">
        <f>INDEX('Income Statement'!$B$30:$K$30,MATCH(C$4,'Income Statement'!$B$4:$K$4,0))/C6</f>
        <v>38.235294117647058</v>
      </c>
      <c r="D7" s="9">
        <f>INDEX('Income Statement'!$B$30:$K$30,MATCH(D$4,'Income Statement'!$B$4:$K$4,0))/D6</f>
        <v>38.534278959810869</v>
      </c>
      <c r="E7" s="9">
        <f>INDEX('Income Statement'!$B$30:$K$30,MATCH(E$4,'Income Statement'!$B$4:$K$4,0))/E6</f>
        <v>19.148936170212764</v>
      </c>
      <c r="F7" s="9">
        <f>INDEX('Income Statement'!$B$30:$K$30,MATCH(F$4,'Income Statement'!$B$4:$K$4,0))/F6</f>
        <v>4.7281323877068555</v>
      </c>
      <c r="G7" s="9">
        <f>INDEX('Income Statement'!$B$30:$K$30,MATCH(G$4,'Income Statement'!$B$4:$K$4,0))/G6</f>
        <v>7.5650118203309686</v>
      </c>
      <c r="H7" s="9">
        <f>INDEX('Income Statement'!$B$30:$K$30,MATCH(H$4,'Income Statement'!$B$4:$K$4,0))/H6</f>
        <v>30.969267139479904</v>
      </c>
      <c r="I7" s="9">
        <f>INDEX('Income Statement'!$B$30:$K$30,MATCH(I$4,'Income Statement'!$B$4:$K$4,0))/I6</f>
        <v>92.43498817966902</v>
      </c>
      <c r="J7" s="9">
        <f>INDEX('Income Statement'!$B$30:$K$30,MATCH(J$4,'Income Statement'!$B$4:$K$4,0))/J6</f>
        <v>95.744680851063819</v>
      </c>
      <c r="K7" s="9">
        <f>INDEX('Income Statement'!$B$30:$K$30,MATCH(K$4,'Income Statement'!$B$4:$K$4,0))/K6</f>
        <v>106.1465721040189</v>
      </c>
    </row>
    <row r="8" spans="1:13" ht="18.75" customHeight="1" x14ac:dyDescent="0.2">
      <c r="A8" s="7" t="s">
        <v>16</v>
      </c>
      <c r="B8" s="10">
        <f>INDEX('Market Data'!$B$31:$K$31,MATCH(B$4,'Market Data'!$B$24:$K$24,0))</f>
        <v>9.3793103448275854</v>
      </c>
      <c r="C8" s="10">
        <f>INDEX('Market Data'!$B$31:$K$31,MATCH(C$4,'Market Data'!$B$24:$K$24,0))</f>
        <v>7.8461538461538467</v>
      </c>
      <c r="D8" s="10">
        <f>INDEX('Market Data'!$B$31:$K$31,MATCH(D$4,'Market Data'!$B$24:$K$24,0))</f>
        <v>8.4340490797546028</v>
      </c>
      <c r="E8" s="10">
        <f>INDEX('Market Data'!$B$31:$K$31,MATCH(E$4,'Market Data'!$B$24:$K$24,0))</f>
        <v>9.9222222222222225</v>
      </c>
      <c r="F8" s="10">
        <f>INDEX('Market Data'!$B$31:$K$31,MATCH(F$4,'Market Data'!$B$24:$K$24,0))</f>
        <v>52.875</v>
      </c>
      <c r="G8" s="10">
        <f>INDEX('Market Data'!$B$31:$K$31,MATCH(G$4,'Market Data'!$B$24:$K$24,0))</f>
        <v>23.793750000000003</v>
      </c>
      <c r="H8" s="10">
        <f>INDEX('Market Data'!$B$31:$K$31,MATCH(H$4,'Market Data'!$B$24:$K$24,0))</f>
        <v>33.904580152671755</v>
      </c>
      <c r="I8" s="10">
        <f>INDEX('Market Data'!$B$31:$K$31,MATCH(I$4,'Market Data'!$B$24:$K$24,0))</f>
        <v>15.253964194373403</v>
      </c>
      <c r="J8" s="10">
        <f>INDEX('Market Data'!$B$31:$K$31,MATCH(J$4,'Market Data'!$B$24:$K$24,0))</f>
        <v>28.461111111111116</v>
      </c>
      <c r="K8" s="10">
        <f>INDEX('Market Data'!$B$31:$K$31,MATCH(K$4,'Market Data'!$B$24:$K$24,0))</f>
        <v>57.467706013363035</v>
      </c>
      <c r="M8" s="11"/>
    </row>
    <row r="9" spans="1:13" ht="18.75" customHeight="1" x14ac:dyDescent="0.2">
      <c r="A9" s="7" t="s">
        <v>17</v>
      </c>
      <c r="B9" s="10">
        <f>INDEX('Market Data'!$B$32:$K$32,MATCH(B$4,'Market Data'!$B$24:$K$24,0))</f>
        <v>0.32810615199034981</v>
      </c>
      <c r="C9" s="10">
        <f>INDEX('Market Data'!$B$32:$K$32,MATCH(C$4,'Market Data'!$B$24:$K$24,0))</f>
        <v>0.61414952333166084</v>
      </c>
      <c r="D9" s="10">
        <f>INDEX('Market Data'!$B$32:$K$32,MATCH(D$4,'Market Data'!$B$24:$K$24,0))</f>
        <v>0.81684491978609641</v>
      </c>
      <c r="E9" s="10">
        <f>INDEX('Market Data'!$B$32:$K$32,MATCH(E$4,'Market Data'!$B$24:$K$24,0))</f>
        <v>0.46510416666666671</v>
      </c>
      <c r="F9" s="10">
        <f>INDEX('Market Data'!$B$32:$K$32,MATCH(F$4,'Market Data'!$B$24:$K$24,0))</f>
        <v>0.734375</v>
      </c>
      <c r="G9" s="10">
        <f>INDEX('Market Data'!$B$32:$K$32,MATCH(G$4,'Market Data'!$B$24:$K$24,0))</f>
        <v>0.54192170818505347</v>
      </c>
      <c r="H9" s="10">
        <f>INDEX('Market Data'!$B$32:$K$32,MATCH(H$4,'Market Data'!$B$24:$K$24,0))</f>
        <v>2.3562334217506633</v>
      </c>
      <c r="I9" s="10">
        <f>INDEX('Market Data'!$B$32:$K$32,MATCH(I$4,'Market Data'!$B$24:$K$24,0))</f>
        <v>1.9190154440154441</v>
      </c>
      <c r="J9" s="10">
        <f>INDEX('Market Data'!$B$32:$K$32,MATCH(J$4,'Market Data'!$B$24:$K$24,0))</f>
        <v>2.8581081081081088</v>
      </c>
      <c r="K9" s="10">
        <f>INDEX('Market Data'!$B$32:$K$32,MATCH(K$4,'Market Data'!$B$24:$K$24,0))</f>
        <v>5.8723258989531191</v>
      </c>
      <c r="M9" s="11"/>
    </row>
    <row r="10" spans="1:13" ht="18.75" customHeight="1" x14ac:dyDescent="0.2">
      <c r="A10" s="7" t="s">
        <v>18</v>
      </c>
      <c r="B10" s="12" t="s">
        <v>19</v>
      </c>
      <c r="C10" s="12" t="s">
        <v>19</v>
      </c>
      <c r="D10" s="13">
        <v>184.57</v>
      </c>
      <c r="E10" s="13">
        <v>136.69</v>
      </c>
      <c r="F10" s="13">
        <v>187.66</v>
      </c>
      <c r="G10" s="13">
        <v>175.74</v>
      </c>
      <c r="H10" s="13">
        <v>334.92</v>
      </c>
      <c r="I10" s="13">
        <v>1000.02</v>
      </c>
      <c r="J10" s="13">
        <v>1105.93</v>
      </c>
      <c r="K10" s="13">
        <v>1126.33</v>
      </c>
      <c r="M10" s="11"/>
    </row>
    <row r="11" spans="1:13" ht="15" customHeight="1" x14ac:dyDescent="0.2">
      <c r="A11" s="7" t="s">
        <v>20</v>
      </c>
      <c r="B11" s="14">
        <f>INDEX('Income Statement'!$B$30:$K$30,MATCH(B$4,'Income Statement'!$B$4:$K$4,0))/INDEX('Balance Sheet'!$B$26:$K$26,MATCH(B$4,'Balance Sheet'!$B$4:$K$4,0))</f>
        <v>4.459251665812404E-2</v>
      </c>
      <c r="C11" s="14">
        <f>INDEX('Income Statement'!$B$30:$K$30,MATCH(C$4,'Income Statement'!$B$4:$K$4,0))/INDEX('Balance Sheet'!$B$26:$K$26,MATCH(C$4,'Balance Sheet'!$B$4:$K$4,0))</f>
        <v>7.6508092202059827E-2</v>
      </c>
      <c r="D11" s="14">
        <f>INDEX('Income Statement'!$B$30:$K$30,MATCH(D$4,'Income Statement'!$B$4:$K$4,0))/INDEX('Balance Sheet'!$B$26:$K$26,MATCH(D$4,'Balance Sheet'!$B$4:$K$4,0))</f>
        <v>5.8908565233104448E-2</v>
      </c>
      <c r="E11" s="14">
        <f>INDEX('Income Statement'!$B$30:$K$30,MATCH(E$4,'Income Statement'!$B$4:$K$4,0))/INDEX('Balance Sheet'!$B$26:$K$26,MATCH(E$4,'Balance Sheet'!$B$4:$K$4,0))</f>
        <v>3.2296650717703351E-2</v>
      </c>
      <c r="F11" s="14">
        <f>INDEX('Income Statement'!$B$30:$K$30,MATCH(F$4,'Income Statement'!$B$4:$K$4,0))/INDEX('Balance Sheet'!$B$26:$K$26,MATCH(F$4,'Balance Sheet'!$B$4:$K$4,0))</f>
        <v>8.507018290089324E-3</v>
      </c>
      <c r="G11" s="14">
        <f>INDEX('Income Statement'!$B$30:$K$30,MATCH(G$4,'Income Statement'!$B$4:$K$4,0))/INDEX('Balance Sheet'!$B$26:$K$26,MATCH(G$4,'Balance Sheet'!$B$4:$K$4,0))</f>
        <v>9.1272104962920701E-3</v>
      </c>
      <c r="H11" s="14">
        <f>INDEX('Income Statement'!$B$30:$K$30,MATCH(H$4,'Income Statement'!$B$4:$K$4,0))/INDEX('Balance Sheet'!$B$26:$K$26,MATCH(H$4,'Balance Sheet'!$B$4:$K$4,0))</f>
        <v>3.2250123092072869E-2</v>
      </c>
      <c r="I11" s="14">
        <f>INDEX('Income Statement'!$B$30:$K$30,MATCH(I$4,'Income Statement'!$B$4:$K$4,0))/INDEX('Balance Sheet'!$B$26:$K$26,MATCH(I$4,'Balance Sheet'!$B$4:$K$4,0))</f>
        <v>7.7059519117067404E-2</v>
      </c>
      <c r="J11" s="14">
        <f>INDEX('Income Statement'!$B$30:$K$30,MATCH(J$4,'Income Statement'!$B$4:$K$4,0))/INDEX('Balance Sheet'!$B$26:$K$26,MATCH(J$4,'Balance Sheet'!$B$4:$K$4,0))</f>
        <v>7.5644378035113938E-2</v>
      </c>
      <c r="K11" s="14">
        <f>INDEX('Income Statement'!$B$30:$K$30,MATCH(K$4,'Income Statement'!$B$4:$K$4,0))/INDEX('Balance Sheet'!$B$26:$K$26,MATCH(K$4,'Balance Sheet'!$B$4:$K$4,0))</f>
        <v>5.6223390934134733E-2</v>
      </c>
    </row>
    <row r="12" spans="1:13" ht="15" customHeight="1" x14ac:dyDescent="0.2">
      <c r="A12" s="7" t="s">
        <v>21</v>
      </c>
      <c r="B12" s="14">
        <f>INDEX('Income Statement'!$B$30:$K$30,MATCH(B$4,'Income Statement'!$B$4:$K$4,0))/(INDEX('Balance Sheet'!$B$77:$K$77,MATCH(B$4,'Balance Sheet'!$B$4:$K$4,0))-INDEX('Balance Sheet'!$B$75:$K$75,MATCH(B$4,'Balance Sheet'!$B$4:$K$4,0)))</f>
        <v>9.3952483801295894E-2</v>
      </c>
      <c r="C12" s="14">
        <f>INDEX('Income Statement'!$B$30:$K$30,MATCH(C$4,'Income Statement'!$B$4:$K$4,0))/(INDEX('Balance Sheet'!$B$77:$K$77,MATCH(C$4,'Balance Sheet'!$B$4:$K$4,0))-INDEX('Balance Sheet'!$B$75:$K$75,MATCH(C$4,'Balance Sheet'!$B$4:$K$4,0)))</f>
        <v>0.14511627906976743</v>
      </c>
      <c r="D12" s="14">
        <f>INDEX('Income Statement'!$B$30:$K$30,MATCH(D$4,'Income Statement'!$B$4:$K$4,0))/(INDEX('Balance Sheet'!$B$77:$K$77,MATCH(D$4,'Balance Sheet'!$B$4:$K$4,0))-INDEX('Balance Sheet'!$B$75:$K$75,MATCH(D$4,'Balance Sheet'!$B$4:$K$4,0)))</f>
        <v>0.12264860797592174</v>
      </c>
      <c r="E12" s="14">
        <f>INDEX('Income Statement'!$B$30:$K$30,MATCH(E$4,'Income Statement'!$B$4:$K$4,0))/(INDEX('Balance Sheet'!$B$77:$K$77,MATCH(E$4,'Balance Sheet'!$B$4:$K$4,0))-INDEX('Balance Sheet'!$B$75:$K$75,MATCH(E$4,'Balance Sheet'!$B$4:$K$4,0)))</f>
        <v>5.7569296375266525E-2</v>
      </c>
      <c r="F12" s="14">
        <f>INDEX('Income Statement'!$B$30:$K$30,MATCH(F$4,'Income Statement'!$B$4:$K$4,0))/(INDEX('Balance Sheet'!$B$77:$K$77,MATCH(F$4,'Balance Sheet'!$B$4:$K$4,0))-INDEX('Balance Sheet'!$B$75:$K$75,MATCH(F$4,'Balance Sheet'!$B$4:$K$4,0)))</f>
        <v>1.4054813773717497E-2</v>
      </c>
      <c r="G12" s="14">
        <f>INDEX('Income Statement'!$B$30:$K$30,MATCH(G$4,'Income Statement'!$B$4:$K$4,0))/(INDEX('Balance Sheet'!$B$77:$K$77,MATCH(G$4,'Balance Sheet'!$B$4:$K$4,0))-INDEX('Balance Sheet'!$B$75:$K$75,MATCH(G$4,'Balance Sheet'!$B$4:$K$4,0)))</f>
        <v>2.202339986235375E-2</v>
      </c>
      <c r="H12" s="14">
        <f>INDEX('Income Statement'!$B$30:$K$30,MATCH(H$4,'Income Statement'!$B$4:$K$4,0))/(INDEX('Balance Sheet'!$B$77:$K$77,MATCH(H$4,'Balance Sheet'!$B$4:$K$4,0))-INDEX('Balance Sheet'!$B$75:$K$75,MATCH(H$4,'Balance Sheet'!$B$4:$K$4,0)))</f>
        <v>7.7331759149940962E-2</v>
      </c>
      <c r="I12" s="14">
        <f>INDEX('Income Statement'!$B$30:$K$30,MATCH(I$4,'Income Statement'!$B$4:$K$4,0))/(INDEX('Balance Sheet'!$B$77:$K$77,MATCH(I$4,'Balance Sheet'!$B$4:$K$4,0))-INDEX('Balance Sheet'!$B$75:$K$75,MATCH(I$4,'Balance Sheet'!$B$4:$K$4,0)))</f>
        <v>0.19540229885057472</v>
      </c>
      <c r="J12" s="14">
        <f>INDEX('Income Statement'!$B$30:$K$30,MATCH(J$4,'Income Statement'!$B$4:$K$4,0))/(INDEX('Balance Sheet'!$B$77:$K$77,MATCH(J$4,'Balance Sheet'!$B$4:$K$4,0))-INDEX('Balance Sheet'!$B$75:$K$75,MATCH(J$4,'Balance Sheet'!$B$4:$K$4,0)))</f>
        <v>0.17270788912579957</v>
      </c>
      <c r="K12" s="14">
        <f>INDEX('Income Statement'!$B$30:$K$30,MATCH(K$4,'Income Statement'!$B$4:$K$4,0))/(INDEX('Balance Sheet'!$B$77:$K$77,MATCH(K$4,'Balance Sheet'!$B$4:$K$4,0))-INDEX('Balance Sheet'!$B$75:$K$75,MATCH(K$4,'Balance Sheet'!$B$4:$K$4,0)))</f>
        <v>0.12601740106651699</v>
      </c>
    </row>
    <row r="13" spans="1:13" ht="15" customHeight="1" x14ac:dyDescent="0.2">
      <c r="A13" s="7" t="s">
        <v>22</v>
      </c>
      <c r="B13" s="14">
        <f>INDEX('Income Statement'!$B$9:$K$9,MATCH(B$4,'Income Statement'!$B$4:$K$4,0))/(INDEX('Balance Sheet'!$B$26:$K$26,MATCH(B$4,'Balance Sheet'!$B$4:$K$4,0))-INDEX('Balance Sheet'!$B$50:$K$50,MATCH(B$4,'Balance Sheet'!$B$4:$K$4,0)))</f>
        <v>9.3446601941747573E-2</v>
      </c>
      <c r="C13" s="14">
        <f>INDEX('Income Statement'!$B$9:$K$9,MATCH(C$4,'Income Statement'!$B$4:$K$4,0))/(INDEX('Balance Sheet'!$B$26:$K$26,MATCH(C$4,'Balance Sheet'!$B$4:$K$4,0))-INDEX('Balance Sheet'!$B$50:$K$50,MATCH(C$4,'Balance Sheet'!$B$4:$K$4,0)))</f>
        <v>1.4899713467048711E-2</v>
      </c>
      <c r="D13" s="14">
        <f>INDEX('Income Statement'!$B$9:$K$9,MATCH(D$4,'Income Statement'!$B$4:$K$4,0))/(INDEX('Balance Sheet'!$B$26:$K$26,MATCH(D$4,'Balance Sheet'!$B$4:$K$4,0))-INDEX('Balance Sheet'!$B$50:$K$50,MATCH(D$4,'Balance Sheet'!$B$4:$K$4,0)))</f>
        <v>3.5073734555599839E-2</v>
      </c>
      <c r="E13" s="14">
        <f>INDEX('Income Statement'!$B$9:$K$9,MATCH(E$4,'Income Statement'!$B$4:$K$4,0))/(INDEX('Balance Sheet'!$B$26:$K$26,MATCH(E$4,'Balance Sheet'!$B$4:$K$4,0))-INDEX('Balance Sheet'!$B$50:$K$50,MATCH(E$4,'Balance Sheet'!$B$4:$K$4,0)))</f>
        <v>1.8340210912425492E-2</v>
      </c>
      <c r="F13" s="14">
        <f>INDEX('Income Statement'!$B$9:$K$9,MATCH(F$4,'Income Statement'!$B$4:$K$4,0))/(INDEX('Balance Sheet'!$B$26:$K$26,MATCH(F$4,'Balance Sheet'!$B$4:$K$4,0))-INDEX('Balance Sheet'!$B$50:$K$50,MATCH(F$4,'Balance Sheet'!$B$4:$K$4,0)))</f>
        <v>4.0626529613313755E-2</v>
      </c>
      <c r="G13" s="14">
        <f>INDEX('Income Statement'!$B$9:$K$9,MATCH(G$4,'Income Statement'!$B$4:$K$4,0))/(INDEX('Balance Sheet'!$B$26:$K$26,MATCH(G$4,'Balance Sheet'!$B$4:$K$4,0))-INDEX('Balance Sheet'!$B$50:$K$50,MATCH(G$4,'Balance Sheet'!$B$4:$K$4,0)))</f>
        <v>2.0465116279069766E-2</v>
      </c>
      <c r="H13" s="14">
        <f>INDEX('Income Statement'!$B$9:$K$9,MATCH(H$4,'Income Statement'!$B$4:$K$4,0))/(INDEX('Balance Sheet'!$B$26:$K$26,MATCH(H$4,'Balance Sheet'!$B$4:$K$4,0))-INDEX('Balance Sheet'!$B$50:$K$50,MATCH(H$4,'Balance Sheet'!$B$4:$K$4,0)))</f>
        <v>5.0535567151881351E-2</v>
      </c>
      <c r="I13" s="14">
        <f>INDEX('Income Statement'!$B$9:$K$9,MATCH(I$4,'Income Statement'!$B$4:$K$4,0))/(INDEX('Balance Sheet'!$B$26:$K$26,MATCH(I$4,'Balance Sheet'!$B$4:$K$4,0))-INDEX('Balance Sheet'!$B$50:$K$50,MATCH(I$4,'Balance Sheet'!$B$4:$K$4,0)))</f>
        <v>0.17435775451950522</v>
      </c>
      <c r="J13" s="14">
        <f>INDEX('Income Statement'!$B$9:$K$9,MATCH(J$4,'Income Statement'!$B$4:$K$4,0))/(INDEX('Balance Sheet'!$B$26:$K$26,MATCH(J$4,'Balance Sheet'!$B$4:$K$4,0))-INDEX('Balance Sheet'!$B$50:$K$50,MATCH(J$4,'Balance Sheet'!$B$4:$K$4,0)))</f>
        <v>0.17732426303854876</v>
      </c>
      <c r="K13" s="14">
        <f>INDEX('Income Statement'!$B$9:$K$9,MATCH(K$4,'Income Statement'!$B$4:$K$4,0))/(INDEX('Balance Sheet'!$B$26:$K$26,MATCH(K$4,'Balance Sheet'!$B$4:$K$4,0))-INDEX('Balance Sheet'!$B$50:$K$50,MATCH(K$4,'Balance Sheet'!$B$4:$K$4,0)))</f>
        <v>0.12077596996245307</v>
      </c>
    </row>
    <row r="14" spans="1:13" ht="15" customHeight="1" x14ac:dyDescent="0.2">
      <c r="A14" s="7" t="s">
        <v>23</v>
      </c>
      <c r="B14" s="10">
        <f>INDEX('Income Statement'!$B$9:$K$9,MATCH(B$4,'Income Statement'!$B$4:$K$4,0))/ABS(INDEX('Income Statement'!$B$14:$K$14,MATCH(B$4,'Income Statement'!$B$4:$K$4,0)))</f>
        <v>2.9615384615384617</v>
      </c>
      <c r="C14" s="10">
        <f>INDEX('Income Statement'!$B$9:$K$9,MATCH(C$4,'Income Statement'!$B$4:$K$4,0))/ABS(INDEX('Income Statement'!$B$14:$K$14,MATCH(C$4,'Income Statement'!$B$4:$K$4,0)))</f>
        <v>0.35135135135135137</v>
      </c>
      <c r="D14" s="10">
        <f>INDEX('Income Statement'!$B$9:$K$9,MATCH(D$4,'Income Statement'!$B$4:$K$4,0))/ABS(INDEX('Income Statement'!$B$14:$K$14,MATCH(D$4,'Income Statement'!$B$4:$K$4,0)))</f>
        <v>0.93617021276595747</v>
      </c>
      <c r="E14" s="10">
        <f>INDEX('Income Statement'!$B$9:$K$9,MATCH(E$4,'Income Statement'!$B$4:$K$4,0))/ABS(INDEX('Income Statement'!$B$14:$K$14,MATCH(E$4,'Income Statement'!$B$4:$K$4,0)))</f>
        <v>0.85106382978723405</v>
      </c>
      <c r="F14" s="10">
        <f>INDEX('Income Statement'!$B$9:$K$9,MATCH(F$4,'Income Statement'!$B$4:$K$4,0))/ABS(INDEX('Income Statement'!$B$14:$K$14,MATCH(F$4,'Income Statement'!$B$4:$K$4,0)))</f>
        <v>1.8863636363636365</v>
      </c>
      <c r="G14" s="10">
        <f>INDEX('Income Statement'!$B$9:$K$9,MATCH(G$4,'Income Statement'!$B$4:$K$4,0))/ABS(INDEX('Income Statement'!$B$14:$K$14,MATCH(G$4,'Income Statement'!$B$4:$K$4,0)))</f>
        <v>1.8857142857142857</v>
      </c>
      <c r="H14" s="10">
        <f>INDEX('Income Statement'!$B$9:$K$9,MATCH(H$4,'Income Statement'!$B$4:$K$4,0))/ABS(INDEX('Income Statement'!$B$14:$K$14,MATCH(H$4,'Income Statement'!$B$4:$K$4,0)))</f>
        <v>4.5999999999999996</v>
      </c>
      <c r="I14" s="10">
        <f>INDEX('Income Statement'!$B$9:$K$9,MATCH(I$4,'Income Statement'!$B$4:$K$4,0))/ABS(INDEX('Income Statement'!$B$14:$K$14,MATCH(I$4,'Income Statement'!$B$4:$K$4,0)))</f>
        <v>5.1985815602836878</v>
      </c>
      <c r="J14" s="10">
        <f>INDEX('Income Statement'!$B$9:$K$9,MATCH(J$4,'Income Statement'!$B$4:$K$4,0))/ABS(INDEX('Income Statement'!$B$14:$K$14,MATCH(J$4,'Income Statement'!$B$4:$K$4,0)))</f>
        <v>4.7682926829268295</v>
      </c>
      <c r="K14" s="10">
        <f>INDEX('Income Statement'!$B$9:$K$9,MATCH(K$4,'Income Statement'!$B$4:$K$4,0))/ABS(INDEX('Income Statement'!$B$14:$K$14,MATCH(K$4,'Income Statement'!$B$4:$K$4,0)))</f>
        <v>4.6506024096385543</v>
      </c>
    </row>
    <row r="16" spans="1:13" ht="19.5" customHeight="1" x14ac:dyDescent="0.2">
      <c r="A16" s="2" t="s">
        <v>24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18.75" customHeight="1" x14ac:dyDescent="0.2">
      <c r="A17" s="7" t="s">
        <v>25</v>
      </c>
      <c r="B17" s="10">
        <f>INDEX('Market Data'!$B$33:$K$33,MATCH(B$4,'Market Data'!$B$24:$K$24,0))</f>
        <v>0.88120950323974079</v>
      </c>
      <c r="C17" s="10">
        <f>INDEX('Market Data'!$B$33:$K$33,MATCH(C$4,'Market Data'!$B$24:$K$24,0))</f>
        <v>1.1386046511627905</v>
      </c>
      <c r="D17" s="10">
        <f>INDEX('Market Data'!$B$33:$K$33,MATCH(D$4,'Market Data'!$B$24:$K$24,0))</f>
        <v>1.0344243792325059</v>
      </c>
      <c r="E17" s="10">
        <f>INDEX('Market Data'!$B$33:$K$33,MATCH(E$4,'Market Data'!$B$24:$K$24,0))</f>
        <v>0.57121535181236671</v>
      </c>
      <c r="F17" s="10">
        <f>INDEX('Market Data'!$B$33:$K$33,MATCH(F$4,'Market Data'!$B$24:$K$24,0))</f>
        <v>0.74314827828531282</v>
      </c>
      <c r="G17" s="10">
        <f>INDEX('Market Data'!$B$33:$K$33,MATCH(G$4,'Market Data'!$B$24:$K$24,0))</f>
        <v>0.52401927047487962</v>
      </c>
      <c r="H17" s="10">
        <f>INDEX('Market Data'!$B$33:$K$33,MATCH(H$4,'Market Data'!$B$24:$K$24,0))</f>
        <v>2.6219008264462813</v>
      </c>
      <c r="I17" s="10">
        <f>INDEX('Market Data'!$B$33:$K$33,MATCH(I$4,'Market Data'!$B$24:$K$24,0))</f>
        <v>2.980659670164918</v>
      </c>
      <c r="J17" s="10">
        <f>INDEX('Market Data'!$B$33:$K$33,MATCH(J$4,'Market Data'!$B$24:$K$24,0))</f>
        <v>4.9154584221748401</v>
      </c>
      <c r="K17" s="10">
        <f>INDEX('Market Data'!$B$33:$K$33,MATCH(K$4,'Market Data'!$B$24:$K$24,0))</f>
        <v>7.2419309570586599</v>
      </c>
      <c r="M17" s="11"/>
    </row>
    <row r="18" spans="1:13" ht="15" customHeight="1" x14ac:dyDescent="0.2">
      <c r="A18" s="7" t="s">
        <v>26</v>
      </c>
      <c r="B18" s="9">
        <f>(INDEX('Balance Sheet'!$B$77:$K$77,MATCH(B$4,'Balance Sheet'!$B$4:$K$4,0))-INDEX('Balance Sheet'!$B$75:$K$75,MATCH(B$4,'Balance Sheet'!$B$4:$K$4,0)))/B6</f>
        <v>226.9607843137255</v>
      </c>
      <c r="C18" s="9">
        <f>(INDEX('Balance Sheet'!$B$77:$K$77,MATCH(C$4,'Balance Sheet'!$B$4:$K$4,0))-INDEX('Balance Sheet'!$B$75:$K$75,MATCH(C$4,'Balance Sheet'!$B$4:$K$4,0)))/C6</f>
        <v>263.48039215686276</v>
      </c>
      <c r="D18" s="9">
        <f>(INDEX('Balance Sheet'!$B$77:$K$77,MATCH(D$4,'Balance Sheet'!$B$4:$K$4,0))-INDEX('Balance Sheet'!$B$75:$K$75,MATCH(D$4,'Balance Sheet'!$B$4:$K$4,0)))/D6</f>
        <v>314.18439716312054</v>
      </c>
      <c r="E18" s="9">
        <f>(INDEX('Balance Sheet'!$B$77:$K$77,MATCH(E$4,'Balance Sheet'!$B$4:$K$4,0))-INDEX('Balance Sheet'!$B$75:$K$75,MATCH(E$4,'Balance Sheet'!$B$4:$K$4,0)))/E6</f>
        <v>332.6241134751773</v>
      </c>
      <c r="F18" s="9">
        <f>(INDEX('Balance Sheet'!$B$77:$K$77,MATCH(F$4,'Balance Sheet'!$B$4:$K$4,0))-INDEX('Balance Sheet'!$B$75:$K$75,MATCH(F$4,'Balance Sheet'!$B$4:$K$4,0)))/F6</f>
        <v>336.40661938534276</v>
      </c>
      <c r="G18" s="9">
        <f>(INDEX('Balance Sheet'!$B$77:$K$77,MATCH(G$4,'Balance Sheet'!$B$4:$K$4,0))-INDEX('Balance Sheet'!$B$75:$K$75,MATCH(G$4,'Balance Sheet'!$B$4:$K$4,0)))/G6</f>
        <v>343.49881796690306</v>
      </c>
      <c r="H18" s="9">
        <f>(INDEX('Balance Sheet'!$B$77:$K$77,MATCH(H$4,'Balance Sheet'!$B$4:$K$4,0))-INDEX('Balance Sheet'!$B$75:$K$75,MATCH(H$4,'Balance Sheet'!$B$4:$K$4,0)))/H6</f>
        <v>400.47281323877064</v>
      </c>
      <c r="I18" s="9">
        <f>(INDEX('Balance Sheet'!$B$77:$K$77,MATCH(I$4,'Balance Sheet'!$B$4:$K$4,0))-INDEX('Balance Sheet'!$B$75:$K$75,MATCH(I$4,'Balance Sheet'!$B$4:$K$4,0)))/I6</f>
        <v>473.04964539007085</v>
      </c>
      <c r="J18" s="9">
        <f>(INDEX('Balance Sheet'!$B$77:$K$77,MATCH(J$4,'Balance Sheet'!$B$4:$K$4,0))-INDEX('Balance Sheet'!$B$75:$K$75,MATCH(J$4,'Balance Sheet'!$B$4:$K$4,0)))/J6</f>
        <v>554.37352245862883</v>
      </c>
      <c r="K18" s="9">
        <f>(INDEX('Balance Sheet'!$B$77:$K$77,MATCH(K$4,'Balance Sheet'!$B$4:$K$4,0))-INDEX('Balance Sheet'!$B$75:$K$75,MATCH(K$4,'Balance Sheet'!$B$4:$K$4,0)))/K6</f>
        <v>842.31678486997623</v>
      </c>
    </row>
    <row r="19" spans="1:13" ht="18.75" customHeight="1" x14ac:dyDescent="0.2">
      <c r="A19" s="7" t="s">
        <v>27</v>
      </c>
      <c r="B19" s="10">
        <f>INDEX('Market Data'!$B$34:$K$34,MATCH(B$4,'Market Data'!$B$24:$K$24,0))</f>
        <v>1.2769761205465457</v>
      </c>
      <c r="C19" s="10">
        <f>INDEX('Market Data'!$B$34:$K$34,MATCH(C$4,'Market Data'!$B$24:$K$24,0))</f>
        <v>1.5598190609889251</v>
      </c>
      <c r="D19" s="10">
        <f>INDEX('Market Data'!$B$34:$K$34,MATCH(D$4,'Market Data'!$B$24:$K$24,0))</f>
        <v>1.348156137221554</v>
      </c>
      <c r="E19" s="10">
        <f>INDEX('Market Data'!$B$34:$K$34,MATCH(E$4,'Market Data'!$B$24:$K$24,0))</f>
        <v>0.72466531904344178</v>
      </c>
      <c r="F19" s="10">
        <f>INDEX('Market Data'!$B$34:$K$34,MATCH(F$4,'Market Data'!$B$24:$K$24,0))</f>
        <v>0.94240048250904718</v>
      </c>
      <c r="G19" s="10">
        <f>INDEX('Market Data'!$B$34:$K$34,MATCH(G$4,'Market Data'!$B$24:$K$24,0))</f>
        <v>0.70028011204481788</v>
      </c>
      <c r="H19" s="10">
        <f>INDEX('Market Data'!$B$34:$K$34,MATCH(H$4,'Market Data'!$B$24:$K$24,0))</f>
        <v>3.4438650004919809</v>
      </c>
      <c r="I19" s="10">
        <f>INDEX('Market Data'!$B$34:$K$34,MATCH(I$4,'Market Data'!$B$24:$K$24,0))</f>
        <v>3.7190409622029383</v>
      </c>
      <c r="J19" s="10">
        <f>INDEX('Market Data'!$B$34:$K$34,MATCH(J$4,'Market Data'!$B$24:$K$24,0))</f>
        <v>6.0796037660077635</v>
      </c>
      <c r="K19" s="10">
        <f>INDEX('Market Data'!$B$34:$K$34,MATCH(K$4,'Market Data'!$B$24:$K$24,0))</f>
        <v>8.2436888480458403</v>
      </c>
      <c r="M19" s="11"/>
    </row>
    <row r="20" spans="1:13" ht="18.75" customHeight="1" x14ac:dyDescent="0.2">
      <c r="A20" s="7" t="s">
        <v>28</v>
      </c>
      <c r="B20" s="15">
        <v>156.62</v>
      </c>
      <c r="C20" s="15">
        <v>192.33</v>
      </c>
      <c r="D20" s="15">
        <v>241.07</v>
      </c>
      <c r="E20" s="15">
        <v>262.19</v>
      </c>
      <c r="F20" s="15">
        <v>265.27999999999997</v>
      </c>
      <c r="G20" s="15">
        <v>257.04000000000002</v>
      </c>
      <c r="H20" s="15">
        <v>304.89</v>
      </c>
      <c r="I20" s="15">
        <v>379.13</v>
      </c>
      <c r="J20" s="15">
        <v>448.22</v>
      </c>
      <c r="K20" s="15">
        <v>739.96</v>
      </c>
      <c r="M20" s="11"/>
    </row>
    <row r="22" spans="1:13" ht="19.5" customHeight="1" x14ac:dyDescent="0.2">
      <c r="A22" s="2" t="s">
        <v>29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3" ht="15" customHeight="1" x14ac:dyDescent="0.2">
      <c r="A23" s="7" t="s">
        <v>30</v>
      </c>
      <c r="B23" s="16">
        <f>INDEX('Balance Sheet'!$B$31:$K$31,MATCH(B$4,'Balance Sheet'!$B$4:$K$4,0))+INDEX('Balance Sheet'!$B$44:$K$44,MATCH(B$4,'Balance Sheet'!$B$4:$K$4,0))+INDEX('Balance Sheet'!$B$46:$K$46,MATCH(B$4,'Balance Sheet'!$B$4:$K$4,0))</f>
        <v>208</v>
      </c>
      <c r="C23" s="16">
        <f>INDEX('Balance Sheet'!$B$31:$K$31,MATCH(C$4,'Balance Sheet'!$B$4:$K$4,0))+INDEX('Balance Sheet'!$B$44:$K$44,MATCH(C$4,'Balance Sheet'!$B$4:$K$4,0))+INDEX('Balance Sheet'!$B$46:$K$46,MATCH(C$4,'Balance Sheet'!$B$4:$K$4,0))</f>
        <v>104</v>
      </c>
      <c r="D23" s="16">
        <f>INDEX('Balance Sheet'!$B$31:$K$31,MATCH(D$4,'Balance Sheet'!$B$4:$K$4,0))+INDEX('Balance Sheet'!$B$44:$K$44,MATCH(D$4,'Balance Sheet'!$B$4:$K$4,0))+INDEX('Balance Sheet'!$B$46:$K$46,MATCH(D$4,'Balance Sheet'!$B$4:$K$4,0))</f>
        <v>97</v>
      </c>
      <c r="E23" s="16">
        <f>INDEX('Balance Sheet'!$B$31:$K$31,MATCH(E$4,'Balance Sheet'!$B$4:$K$4,0))+INDEX('Balance Sheet'!$B$44:$K$44,MATCH(E$4,'Balance Sheet'!$B$4:$K$4,0))+INDEX('Balance Sheet'!$B$46:$K$46,MATCH(E$4,'Balance Sheet'!$B$4:$K$4,0))</f>
        <v>168</v>
      </c>
      <c r="F23" s="16">
        <f>INDEX('Balance Sheet'!$B$31:$K$31,MATCH(F$4,'Balance Sheet'!$B$4:$K$4,0))+INDEX('Balance Sheet'!$B$44:$K$44,MATCH(F$4,'Balance Sheet'!$B$4:$K$4,0))+INDEX('Balance Sheet'!$B$46:$K$46,MATCH(F$4,'Balance Sheet'!$B$4:$K$4,0))</f>
        <v>156</v>
      </c>
      <c r="G23" s="16">
        <f>INDEX('Balance Sheet'!$B$31:$K$31,MATCH(G$4,'Balance Sheet'!$B$4:$K$4,0))+INDEX('Balance Sheet'!$B$44:$K$44,MATCH(G$4,'Balance Sheet'!$B$4:$K$4,0))+INDEX('Balance Sheet'!$B$46:$K$46,MATCH(G$4,'Balance Sheet'!$B$4:$K$4,0))</f>
        <v>126</v>
      </c>
      <c r="H23" s="16">
        <f>INDEX('Balance Sheet'!$B$31:$K$31,MATCH(H$4,'Balance Sheet'!$B$4:$K$4,0))+INDEX('Balance Sheet'!$B$44:$K$44,MATCH(H$4,'Balance Sheet'!$B$4:$K$4,0))+INDEX('Balance Sheet'!$B$46:$K$46,MATCH(H$4,'Balance Sheet'!$B$4:$K$4,0))</f>
        <v>186</v>
      </c>
      <c r="I23" s="16">
        <f>INDEX('Balance Sheet'!$B$31:$K$31,MATCH(I$4,'Balance Sheet'!$B$4:$K$4,0))+INDEX('Balance Sheet'!$B$44:$K$44,MATCH(I$4,'Balance Sheet'!$B$4:$K$4,0))+INDEX('Balance Sheet'!$B$46:$K$46,MATCH(I$4,'Balance Sheet'!$B$4:$K$4,0))</f>
        <v>437</v>
      </c>
      <c r="J23" s="16">
        <f>INDEX('Balance Sheet'!$B$31:$K$31,MATCH(J$4,'Balance Sheet'!$B$4:$K$4,0))+INDEX('Balance Sheet'!$B$44:$K$44,MATCH(J$4,'Balance Sheet'!$B$4:$K$4,0))+INDEX('Balance Sheet'!$B$46:$K$46,MATCH(J$4,'Balance Sheet'!$B$4:$K$4,0))</f>
        <v>388</v>
      </c>
      <c r="K23" s="16">
        <f>INDEX('Balance Sheet'!$B$31:$K$31,MATCH(K$4,'Balance Sheet'!$B$4:$K$4,0))+INDEX('Balance Sheet'!$B$44:$K$44,MATCH(K$4,'Balance Sheet'!$B$4:$K$4,0))+INDEX('Balance Sheet'!$B$46:$K$46,MATCH(K$4,'Balance Sheet'!$B$4:$K$4,0))</f>
        <v>722</v>
      </c>
    </row>
    <row r="24" spans="1:13" ht="15" customHeight="1" x14ac:dyDescent="0.2">
      <c r="A24" s="7" t="s">
        <v>31</v>
      </c>
      <c r="B24" s="16">
        <f>INDEX('Balance Sheet'!$B$55:$K$55,MATCH(B$4,'Balance Sheet'!$B$4:$K$4,0))+INDEX('Balance Sheet'!$B$57:$K$57,MATCH(B$4,'Balance Sheet'!$B$4:$K$4,0))</f>
        <v>396</v>
      </c>
      <c r="C24" s="16">
        <f>INDEX('Balance Sheet'!$B$55:$K$55,MATCH(C$4,'Balance Sheet'!$B$4:$K$4,0))+INDEX('Balance Sheet'!$B$57:$K$57,MATCH(C$4,'Balance Sheet'!$B$4:$K$4,0))</f>
        <v>96</v>
      </c>
      <c r="D24" s="16">
        <f>INDEX('Balance Sheet'!$B$55:$K$55,MATCH(D$4,'Balance Sheet'!$B$4:$K$4,0))+INDEX('Balance Sheet'!$B$57:$K$57,MATCH(D$4,'Balance Sheet'!$B$4:$K$4,0))</f>
        <v>582</v>
      </c>
      <c r="E24" s="16">
        <f>INDEX('Balance Sheet'!$B$55:$K$55,MATCH(E$4,'Balance Sheet'!$B$4:$K$4,0))+INDEX('Balance Sheet'!$B$57:$K$57,MATCH(E$4,'Balance Sheet'!$B$4:$K$4,0))</f>
        <v>454</v>
      </c>
      <c r="F24" s="16">
        <f>INDEX('Balance Sheet'!$B$55:$K$55,MATCH(F$4,'Balance Sheet'!$B$4:$K$4,0))+INDEX('Balance Sheet'!$B$57:$K$57,MATCH(F$4,'Balance Sheet'!$B$4:$K$4,0))</f>
        <v>283</v>
      </c>
      <c r="G24" s="16">
        <f>INDEX('Balance Sheet'!$B$55:$K$55,MATCH(G$4,'Balance Sheet'!$B$4:$K$4,0))+INDEX('Balance Sheet'!$B$57:$K$57,MATCH(G$4,'Balance Sheet'!$B$4:$K$4,0))</f>
        <v>1411</v>
      </c>
      <c r="H24" s="16">
        <f>INDEX('Balance Sheet'!$B$55:$K$55,MATCH(H$4,'Balance Sheet'!$B$4:$K$4,0))+INDEX('Balance Sheet'!$B$57:$K$57,MATCH(H$4,'Balance Sheet'!$B$4:$K$4,0))</f>
        <v>1534</v>
      </c>
      <c r="I24" s="16">
        <f>INDEX('Balance Sheet'!$B$55:$K$55,MATCH(I$4,'Balance Sheet'!$B$4:$K$4,0))+INDEX('Balance Sheet'!$B$57:$K$57,MATCH(I$4,'Balance Sheet'!$B$4:$K$4,0))</f>
        <v>1661</v>
      </c>
      <c r="J24" s="16">
        <f>INDEX('Balance Sheet'!$B$55:$K$55,MATCH(J$4,'Balance Sheet'!$B$4:$K$4,0))+INDEX('Balance Sheet'!$B$57:$K$57,MATCH(J$4,'Balance Sheet'!$B$4:$K$4,0))</f>
        <v>1457</v>
      </c>
      <c r="K24" s="16">
        <f>INDEX('Balance Sheet'!$B$55:$K$55,MATCH(K$4,'Balance Sheet'!$B$4:$K$4,0))+INDEX('Balance Sheet'!$B$57:$K$57,MATCH(K$4,'Balance Sheet'!$B$4:$K$4,0))</f>
        <v>1825</v>
      </c>
    </row>
    <row r="25" spans="1:13" ht="15" customHeight="1" x14ac:dyDescent="0.2">
      <c r="A25" s="17" t="s">
        <v>32</v>
      </c>
      <c r="B25" s="18">
        <f t="shared" ref="B25:K25" si="0">B23+B24</f>
        <v>604</v>
      </c>
      <c r="C25" s="18">
        <f t="shared" si="0"/>
        <v>200</v>
      </c>
      <c r="D25" s="18">
        <f t="shared" si="0"/>
        <v>679</v>
      </c>
      <c r="E25" s="18">
        <f t="shared" si="0"/>
        <v>622</v>
      </c>
      <c r="F25" s="18">
        <f t="shared" si="0"/>
        <v>439</v>
      </c>
      <c r="G25" s="18">
        <f t="shared" si="0"/>
        <v>1537</v>
      </c>
      <c r="H25" s="18">
        <f t="shared" si="0"/>
        <v>1720</v>
      </c>
      <c r="I25" s="18">
        <f t="shared" si="0"/>
        <v>2098</v>
      </c>
      <c r="J25" s="18">
        <f t="shared" si="0"/>
        <v>1845</v>
      </c>
      <c r="K25" s="18">
        <f t="shared" si="0"/>
        <v>2547</v>
      </c>
    </row>
    <row r="26" spans="1:13" ht="15" customHeight="1" x14ac:dyDescent="0.2">
      <c r="A26" s="17" t="s">
        <v>33</v>
      </c>
      <c r="B26" s="18">
        <f>B25-INDEX('Balance Sheet'!$B$10:$K$10,MATCH(B$4,'Balance Sheet'!$B$4:$K$4,0))</f>
        <v>430</v>
      </c>
      <c r="C26" s="18">
        <f>C25-INDEX('Balance Sheet'!$B$10:$K$10,MATCH(C$4,'Balance Sheet'!$B$4:$K$4,0))</f>
        <v>26</v>
      </c>
      <c r="D26" s="18">
        <f>D25-INDEX('Balance Sheet'!$B$10:$K$10,MATCH(D$4,'Balance Sheet'!$B$4:$K$4,0))</f>
        <v>389</v>
      </c>
      <c r="E26" s="18">
        <f>E25-INDEX('Balance Sheet'!$B$10:$K$10,MATCH(E$4,'Balance Sheet'!$B$4:$K$4,0))</f>
        <v>318</v>
      </c>
      <c r="F26" s="18">
        <f>F25-INDEX('Balance Sheet'!$B$10:$K$10,MATCH(F$4,'Balance Sheet'!$B$4:$K$4,0))</f>
        <v>-108</v>
      </c>
      <c r="G26" s="18">
        <f>G25-INDEX('Balance Sheet'!$B$10:$K$10,MATCH(G$4,'Balance Sheet'!$B$4:$K$4,0))</f>
        <v>982</v>
      </c>
      <c r="H26" s="18">
        <f>H25-INDEX('Balance Sheet'!$B$10:$K$10,MATCH(H$4,'Balance Sheet'!$B$4:$K$4,0))</f>
        <v>1251</v>
      </c>
      <c r="I26" s="18">
        <f>I25-INDEX('Balance Sheet'!$B$10:$K$10,MATCH(I$4,'Balance Sheet'!$B$4:$K$4,0))</f>
        <v>1560</v>
      </c>
      <c r="J26" s="18">
        <f>J25-INDEX('Balance Sheet'!$B$10:$K$10,MATCH(J$4,'Balance Sheet'!$B$4:$K$4,0))</f>
        <v>1128</v>
      </c>
      <c r="K26" s="18">
        <f>K25-INDEX('Balance Sheet'!$B$10:$K$10,MATCH(K$4,'Balance Sheet'!$B$4:$K$4,0))</f>
        <v>1028</v>
      </c>
    </row>
    <row r="27" spans="1:13" ht="15" customHeight="1" x14ac:dyDescent="0.2">
      <c r="A27" s="17" t="s">
        <v>34</v>
      </c>
      <c r="B27" s="18">
        <f>INDEX('Balance Sheet'!$B$22:$K$22,MATCH(B$4,'Balance Sheet'!$B$4:$K$4,0))-INDEX('Balance Sheet'!$B$50:$K$50,MATCH(B$4,'Balance Sheet'!$B$4:$K$4,0))</f>
        <v>137</v>
      </c>
      <c r="C27" s="18">
        <f>INDEX('Balance Sheet'!$B$22:$K$22,MATCH(C$4,'Balance Sheet'!$B$4:$K$4,0))-INDEX('Balance Sheet'!$B$50:$K$50,MATCH(C$4,'Balance Sheet'!$B$4:$K$4,0))</f>
        <v>377</v>
      </c>
      <c r="D27" s="18">
        <f>INDEX('Balance Sheet'!$B$22:$K$22,MATCH(D$4,'Balance Sheet'!$B$4:$K$4,0))-INDEX('Balance Sheet'!$B$50:$K$50,MATCH(D$4,'Balance Sheet'!$B$4:$K$4,0))</f>
        <v>710</v>
      </c>
      <c r="E27" s="18">
        <f>INDEX('Balance Sheet'!$B$22:$K$22,MATCH(E$4,'Balance Sheet'!$B$4:$K$4,0))-INDEX('Balance Sheet'!$B$50:$K$50,MATCH(E$4,'Balance Sheet'!$B$4:$K$4,0))</f>
        <v>657</v>
      </c>
      <c r="F27" s="18">
        <f>INDEX('Balance Sheet'!$B$22:$K$22,MATCH(F$4,'Balance Sheet'!$B$4:$K$4,0))-INDEX('Balance Sheet'!$B$50:$K$50,MATCH(F$4,'Balance Sheet'!$B$4:$K$4,0))</f>
        <v>560</v>
      </c>
      <c r="G27" s="18">
        <f>INDEX('Balance Sheet'!$B$22:$K$22,MATCH(G$4,'Balance Sheet'!$B$4:$K$4,0))-INDEX('Balance Sheet'!$B$50:$K$50,MATCH(G$4,'Balance Sheet'!$B$4:$K$4,0))</f>
        <v>672</v>
      </c>
      <c r="H27" s="18">
        <f>INDEX('Balance Sheet'!$B$22:$K$22,MATCH(H$4,'Balance Sheet'!$B$4:$K$4,0))-INDEX('Balance Sheet'!$B$50:$K$50,MATCH(H$4,'Balance Sheet'!$B$4:$K$4,0))</f>
        <v>493</v>
      </c>
      <c r="I27" s="18">
        <f>INDEX('Balance Sheet'!$B$22:$K$22,MATCH(I$4,'Balance Sheet'!$B$4:$K$4,0))-INDEX('Balance Sheet'!$B$50:$K$50,MATCH(I$4,'Balance Sheet'!$B$4:$K$4,0))</f>
        <v>373</v>
      </c>
      <c r="J27" s="18">
        <f>INDEX('Balance Sheet'!$B$22:$K$22,MATCH(J$4,'Balance Sheet'!$B$4:$K$4,0))-INDEX('Balance Sheet'!$B$50:$K$50,MATCH(J$4,'Balance Sheet'!$B$4:$K$4,0))</f>
        <v>523</v>
      </c>
      <c r="K27" s="18">
        <f>INDEX('Balance Sheet'!$B$22:$K$22,MATCH(K$4,'Balance Sheet'!$B$4:$K$4,0))-INDEX('Balance Sheet'!$B$50:$K$50,MATCH(K$4,'Balance Sheet'!$B$4:$K$4,0))</f>
        <v>707</v>
      </c>
    </row>
    <row r="29" spans="1:13" ht="19.5" customHeight="1" x14ac:dyDescent="0.2">
      <c r="A29" s="2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3" ht="15" customHeight="1" x14ac:dyDescent="0.2">
      <c r="A30" s="7" t="s">
        <v>36</v>
      </c>
      <c r="B30" s="10">
        <f>INDEX('Balance Sheet'!$B$22:$K$22,MATCH(B$4,'Balance Sheet'!$B$4:$K$4,0))/INDEX('Balance Sheet'!$B$50:$K$50,MATCH(B$4,'Balance Sheet'!$B$4:$K$4,0))</f>
        <v>1.4521452145214522</v>
      </c>
      <c r="C30" s="10">
        <f>INDEX('Balance Sheet'!$B$22:$K$22,MATCH(C$4,'Balance Sheet'!$B$4:$K$4,0))/INDEX('Balance Sheet'!$B$50:$K$50,MATCH(C$4,'Balance Sheet'!$B$4:$K$4,0))</f>
        <v>2.2823129251700682</v>
      </c>
      <c r="D30" s="10">
        <f>INDEX('Balance Sheet'!$B$22:$K$22,MATCH(D$4,'Balance Sheet'!$B$4:$K$4,0))/INDEX('Balance Sheet'!$B$50:$K$50,MATCH(D$4,'Balance Sheet'!$B$4:$K$4,0))</f>
        <v>3.751937984496124</v>
      </c>
      <c r="E30" s="10">
        <f>INDEX('Balance Sheet'!$B$22:$K$22,MATCH(E$4,'Balance Sheet'!$B$4:$K$4,0))/INDEX('Balance Sheet'!$B$50:$K$50,MATCH(E$4,'Balance Sheet'!$B$4:$K$4,0))</f>
        <v>3.0091743119266057</v>
      </c>
      <c r="F30" s="10">
        <f>INDEX('Balance Sheet'!$B$22:$K$22,MATCH(F$4,'Balance Sheet'!$B$4:$K$4,0))/INDEX('Balance Sheet'!$B$50:$K$50,MATCH(F$4,'Balance Sheet'!$B$4:$K$4,0))</f>
        <v>2.8181818181818183</v>
      </c>
      <c r="G30" s="10">
        <f>INDEX('Balance Sheet'!$B$22:$K$22,MATCH(G$4,'Balance Sheet'!$B$4:$K$4,0))/INDEX('Balance Sheet'!$B$50:$K$50,MATCH(G$4,'Balance Sheet'!$B$4:$K$4,0))</f>
        <v>3.3914590747330959</v>
      </c>
      <c r="H30" s="10">
        <f>INDEX('Balance Sheet'!$B$22:$K$22,MATCH(H$4,'Balance Sheet'!$B$4:$K$4,0))/INDEX('Balance Sheet'!$B$50:$K$50,MATCH(H$4,'Balance Sheet'!$B$4:$K$4,0))</f>
        <v>2.1710213776722092</v>
      </c>
      <c r="I30" s="10">
        <f>INDEX('Balance Sheet'!$B$22:$K$22,MATCH(I$4,'Balance Sheet'!$B$4:$K$4,0))/INDEX('Balance Sheet'!$B$50:$K$50,MATCH(I$4,'Balance Sheet'!$B$4:$K$4,0))</f>
        <v>1.428735632183908</v>
      </c>
      <c r="J30" s="10">
        <f>INDEX('Balance Sheet'!$B$22:$K$22,MATCH(J$4,'Balance Sheet'!$B$4:$K$4,0))/INDEX('Balance Sheet'!$B$50:$K$50,MATCH(J$4,'Balance Sheet'!$B$4:$K$4,0))</f>
        <v>1.5540254237288136</v>
      </c>
      <c r="K30" s="10">
        <f>INDEX('Balance Sheet'!$B$22:$K$22,MATCH(K$4,'Balance Sheet'!$B$4:$K$4,0))/INDEX('Balance Sheet'!$B$50:$K$50,MATCH(K$4,'Balance Sheet'!$B$4:$K$4,0))</f>
        <v>1.4435382685069009</v>
      </c>
    </row>
    <row r="31" spans="1:13" ht="15" customHeight="1" x14ac:dyDescent="0.2">
      <c r="A31" s="7" t="s">
        <v>37</v>
      </c>
      <c r="B31" s="10">
        <f>(INDEX('Balance Sheet'!$B$22:$K$22,MATCH(B$4,'Balance Sheet'!$B$4:$K$4,0))-INDEX('Balance Sheet'!$B$19:$K$19,MATCH(B$4,'Balance Sheet'!$B$4:$K$4,0)))/INDEX('Balance Sheet'!$B$50:$K$50,MATCH(B$4,'Balance Sheet'!$B$4:$K$4,0))</f>
        <v>1.2805280528052805</v>
      </c>
      <c r="C31" s="10">
        <f>(INDEX('Balance Sheet'!$B$22:$K$22,MATCH(C$4,'Balance Sheet'!$B$4:$K$4,0))-INDEX('Balance Sheet'!$B$19:$K$19,MATCH(C$4,'Balance Sheet'!$B$4:$K$4,0)))/INDEX('Balance Sheet'!$B$50:$K$50,MATCH(C$4,'Balance Sheet'!$B$4:$K$4,0))</f>
        <v>1.9455782312925169</v>
      </c>
      <c r="D31" s="10">
        <f>(INDEX('Balance Sheet'!$B$22:$K$22,MATCH(D$4,'Balance Sheet'!$B$4:$K$4,0))-INDEX('Balance Sheet'!$B$19:$K$19,MATCH(D$4,'Balance Sheet'!$B$4:$K$4,0)))/INDEX('Balance Sheet'!$B$50:$K$50,MATCH(D$4,'Balance Sheet'!$B$4:$K$4,0))</f>
        <v>3.7441860465116279</v>
      </c>
      <c r="E31" s="10">
        <f>(INDEX('Balance Sheet'!$B$22:$K$22,MATCH(E$4,'Balance Sheet'!$B$4:$K$4,0))-INDEX('Balance Sheet'!$B$19:$K$19,MATCH(E$4,'Balance Sheet'!$B$4:$K$4,0)))/INDEX('Balance Sheet'!$B$50:$K$50,MATCH(E$4,'Balance Sheet'!$B$4:$K$4,0))</f>
        <v>3.0030581039755351</v>
      </c>
      <c r="F31" s="10">
        <f>(INDEX('Balance Sheet'!$B$22:$K$22,MATCH(F$4,'Balance Sheet'!$B$4:$K$4,0))-INDEX('Balance Sheet'!$B$19:$K$19,MATCH(F$4,'Balance Sheet'!$B$4:$K$4,0)))/INDEX('Balance Sheet'!$B$50:$K$50,MATCH(F$4,'Balance Sheet'!$B$4:$K$4,0))</f>
        <v>2.8051948051948052</v>
      </c>
      <c r="G31" s="10">
        <f>(INDEX('Balance Sheet'!$B$22:$K$22,MATCH(G$4,'Balance Sheet'!$B$4:$K$4,0))-INDEX('Balance Sheet'!$B$19:$K$19,MATCH(G$4,'Balance Sheet'!$B$4:$K$4,0)))/INDEX('Balance Sheet'!$B$50:$K$50,MATCH(G$4,'Balance Sheet'!$B$4:$K$4,0))</f>
        <v>3.3665480427046264</v>
      </c>
      <c r="H31" s="10">
        <f>(INDEX('Balance Sheet'!$B$22:$K$22,MATCH(H$4,'Balance Sheet'!$B$4:$K$4,0))-INDEX('Balance Sheet'!$B$19:$K$19,MATCH(H$4,'Balance Sheet'!$B$4:$K$4,0)))/INDEX('Balance Sheet'!$B$50:$K$50,MATCH(H$4,'Balance Sheet'!$B$4:$K$4,0))</f>
        <v>2.1425178147268409</v>
      </c>
      <c r="I31" s="10">
        <f>(INDEX('Balance Sheet'!$B$22:$K$22,MATCH(I$4,'Balance Sheet'!$B$4:$K$4,0))-INDEX('Balance Sheet'!$B$19:$K$19,MATCH(I$4,'Balance Sheet'!$B$4:$K$4,0)))/INDEX('Balance Sheet'!$B$50:$K$50,MATCH(I$4,'Balance Sheet'!$B$4:$K$4,0))</f>
        <v>1.4160919540229886</v>
      </c>
      <c r="J31" s="10">
        <f>(INDEX('Balance Sheet'!$B$22:$K$22,MATCH(J$4,'Balance Sheet'!$B$4:$K$4,0))-INDEX('Balance Sheet'!$B$19:$K$19,MATCH(J$4,'Balance Sheet'!$B$4:$K$4,0)))/INDEX('Balance Sheet'!$B$50:$K$50,MATCH(J$4,'Balance Sheet'!$B$4:$K$4,0))</f>
        <v>1.5444915254237288</v>
      </c>
      <c r="K31" s="10">
        <f>(INDEX('Balance Sheet'!$B$22:$K$22,MATCH(K$4,'Balance Sheet'!$B$4:$K$4,0))-INDEX('Balance Sheet'!$B$19:$K$19,MATCH(K$4,'Balance Sheet'!$B$4:$K$4,0)))/INDEX('Balance Sheet'!$B$50:$K$50,MATCH(K$4,'Balance Sheet'!$B$4:$K$4,0))</f>
        <v>1.4366373902132998</v>
      </c>
    </row>
    <row r="32" spans="1:13" ht="15" customHeight="1" x14ac:dyDescent="0.2">
      <c r="A32" s="7" t="s">
        <v>38</v>
      </c>
      <c r="B32" s="10">
        <f>B25/(INDEX('Balance Sheet'!$B$77:$K$77,MATCH(B$4,'Balance Sheet'!$B$4:$K$4,0))-INDEX('Balance Sheet'!$B$75:$K$75,MATCH(B$4,'Balance Sheet'!$B$4:$K$4,0)))</f>
        <v>0.65226781857451399</v>
      </c>
      <c r="C32" s="10">
        <f>C25/(INDEX('Balance Sheet'!$B$77:$K$77,MATCH(C$4,'Balance Sheet'!$B$4:$K$4,0))-INDEX('Balance Sheet'!$B$75:$K$75,MATCH(C$4,'Balance Sheet'!$B$4:$K$4,0)))</f>
        <v>0.18604651162790697</v>
      </c>
      <c r="D32" s="10">
        <f>D25/(INDEX('Balance Sheet'!$B$77:$K$77,MATCH(D$4,'Balance Sheet'!$B$4:$K$4,0))-INDEX('Balance Sheet'!$B$75:$K$75,MATCH(D$4,'Balance Sheet'!$B$4:$K$4,0)))</f>
        <v>0.51091045899172305</v>
      </c>
      <c r="E32" s="10">
        <f>E25/(INDEX('Balance Sheet'!$B$77:$K$77,MATCH(E$4,'Balance Sheet'!$B$4:$K$4,0))-INDEX('Balance Sheet'!$B$75:$K$75,MATCH(E$4,'Balance Sheet'!$B$4:$K$4,0)))</f>
        <v>0.44207533759772566</v>
      </c>
      <c r="F32" s="10">
        <f>F25/(INDEX('Balance Sheet'!$B$77:$K$77,MATCH(F$4,'Balance Sheet'!$B$4:$K$4,0))-INDEX('Balance Sheet'!$B$75:$K$75,MATCH(F$4,'Balance Sheet'!$B$4:$K$4,0)))</f>
        <v>0.3085031623330991</v>
      </c>
      <c r="G32" s="10">
        <f>G25/(INDEX('Balance Sheet'!$B$77:$K$77,MATCH(G$4,'Balance Sheet'!$B$4:$K$4,0))-INDEX('Balance Sheet'!$B$75:$K$75,MATCH(G$4,'Balance Sheet'!$B$4:$K$4,0)))</f>
        <v>1.0578114246386785</v>
      </c>
      <c r="H32" s="10">
        <f>H25/(INDEX('Balance Sheet'!$B$77:$K$77,MATCH(H$4,'Balance Sheet'!$B$4:$K$4,0))-INDEX('Balance Sheet'!$B$75:$K$75,MATCH(H$4,'Balance Sheet'!$B$4:$K$4,0)))</f>
        <v>1.0153482880755609</v>
      </c>
      <c r="I32" s="10">
        <f>I25/(INDEX('Balance Sheet'!$B$77:$K$77,MATCH(I$4,'Balance Sheet'!$B$4:$K$4,0))-INDEX('Balance Sheet'!$B$75:$K$75,MATCH(I$4,'Balance Sheet'!$B$4:$K$4,0)))</f>
        <v>1.0484757621189404</v>
      </c>
      <c r="J32" s="10">
        <f>J25/(INDEX('Balance Sheet'!$B$77:$K$77,MATCH(J$4,'Balance Sheet'!$B$4:$K$4,0))-INDEX('Balance Sheet'!$B$75:$K$75,MATCH(J$4,'Balance Sheet'!$B$4:$K$4,0)))</f>
        <v>0.78678038379530912</v>
      </c>
      <c r="K32" s="10">
        <f>K25/(INDEX('Balance Sheet'!$B$77:$K$77,MATCH(K$4,'Balance Sheet'!$B$4:$K$4,0))-INDEX('Balance Sheet'!$B$75:$K$75,MATCH(K$4,'Balance Sheet'!$B$4:$K$4,0)))</f>
        <v>0.71484703901206847</v>
      </c>
    </row>
    <row r="33" spans="1:13" ht="15" customHeight="1" x14ac:dyDescent="0.2">
      <c r="A33" s="7" t="s">
        <v>39</v>
      </c>
      <c r="B33" s="10">
        <f>INDEX('Balance Sheet'!$B$26:$K$26,MATCH(B$4,'Balance Sheet'!$B$4:$K$4,0))/(INDEX('Balance Sheet'!$B$77:$K$77,MATCH(B$4,'Balance Sheet'!$B$4:$K$4,0))-INDEX('Balance Sheet'!$B$75:$K$75,MATCH(B$4,'Balance Sheet'!$B$4:$K$4,0)))</f>
        <v>2.1069114470842334</v>
      </c>
      <c r="C33" s="10">
        <f>INDEX('Balance Sheet'!$B$26:$K$26,MATCH(C$4,'Balance Sheet'!$B$4:$K$4,0))/(INDEX('Balance Sheet'!$B$77:$K$77,MATCH(C$4,'Balance Sheet'!$B$4:$K$4,0))-INDEX('Balance Sheet'!$B$75:$K$75,MATCH(C$4,'Balance Sheet'!$B$4:$K$4,0)))</f>
        <v>1.8967441860465117</v>
      </c>
      <c r="D33" s="10">
        <f>INDEX('Balance Sheet'!$B$26:$K$26,MATCH(D$4,'Balance Sheet'!$B$4:$K$4,0))/(INDEX('Balance Sheet'!$B$77:$K$77,MATCH(D$4,'Balance Sheet'!$B$4:$K$4,0))-INDEX('Balance Sheet'!$B$75:$K$75,MATCH(D$4,'Balance Sheet'!$B$4:$K$4,0)))</f>
        <v>2.0820165537998494</v>
      </c>
      <c r="E33" s="10">
        <f>INDEX('Balance Sheet'!$B$26:$K$26,MATCH(E$4,'Balance Sheet'!$B$4:$K$4,0))/(INDEX('Balance Sheet'!$B$77:$K$77,MATCH(E$4,'Balance Sheet'!$B$4:$K$4,0))-INDEX('Balance Sheet'!$B$75:$K$75,MATCH(E$4,'Balance Sheet'!$B$4:$K$4,0)))</f>
        <v>1.7825159914712154</v>
      </c>
      <c r="F33" s="10">
        <f>INDEX('Balance Sheet'!$B$26:$K$26,MATCH(F$4,'Balance Sheet'!$B$4:$K$4,0))/(INDEX('Balance Sheet'!$B$77:$K$77,MATCH(F$4,'Balance Sheet'!$B$4:$K$4,0))-INDEX('Balance Sheet'!$B$75:$K$75,MATCH(F$4,'Balance Sheet'!$B$4:$K$4,0)))</f>
        <v>1.6521433591004919</v>
      </c>
      <c r="G33" s="10">
        <f>INDEX('Balance Sheet'!$B$26:$K$26,MATCH(G$4,'Balance Sheet'!$B$4:$K$4,0))/(INDEX('Balance Sheet'!$B$77:$K$77,MATCH(G$4,'Balance Sheet'!$B$4:$K$4,0))-INDEX('Balance Sheet'!$B$75:$K$75,MATCH(G$4,'Balance Sheet'!$B$4:$K$4,0)))</f>
        <v>2.4129387474191328</v>
      </c>
      <c r="H33" s="10">
        <f>INDEX('Balance Sheet'!$B$26:$K$26,MATCH(H$4,'Balance Sheet'!$B$4:$K$4,0))/(INDEX('Balance Sheet'!$B$77:$K$77,MATCH(H$4,'Balance Sheet'!$B$4:$K$4,0))-INDEX('Balance Sheet'!$B$75:$K$75,MATCH(H$4,'Balance Sheet'!$B$4:$K$4,0)))</f>
        <v>2.3978748524203071</v>
      </c>
      <c r="I33" s="10">
        <f>INDEX('Balance Sheet'!$B$26:$K$26,MATCH(I$4,'Balance Sheet'!$B$4:$K$4,0))/(INDEX('Balance Sheet'!$B$77:$K$77,MATCH(I$4,'Balance Sheet'!$B$4:$K$4,0))-INDEX('Balance Sheet'!$B$75:$K$75,MATCH(I$4,'Balance Sheet'!$B$4:$K$4,0)))</f>
        <v>2.5357321339330334</v>
      </c>
      <c r="J33" s="10">
        <f>INDEX('Balance Sheet'!$B$26:$K$26,MATCH(J$4,'Balance Sheet'!$B$4:$K$4,0))/(INDEX('Balance Sheet'!$B$77:$K$77,MATCH(J$4,'Balance Sheet'!$B$4:$K$4,0))-INDEX('Balance Sheet'!$B$75:$K$75,MATCH(J$4,'Balance Sheet'!$B$4:$K$4,0)))</f>
        <v>2.2831556503198294</v>
      </c>
      <c r="K33" s="10">
        <f>INDEX('Balance Sheet'!$B$26:$K$26,MATCH(K$4,'Balance Sheet'!$B$4:$K$4,0))/(INDEX('Balance Sheet'!$B$77:$K$77,MATCH(K$4,'Balance Sheet'!$B$4:$K$4,0))-INDEX('Balance Sheet'!$B$75:$K$75,MATCH(K$4,'Balance Sheet'!$B$4:$K$4,0)))</f>
        <v>2.241369632332304</v>
      </c>
    </row>
    <row r="34" spans="1:13" ht="15" customHeight="1" x14ac:dyDescent="0.2">
      <c r="A34" s="7" t="s">
        <v>40</v>
      </c>
      <c r="B34" s="10">
        <f>B24/(INDEX('Balance Sheet'!$B$77:$K$77,MATCH(B$4,'Balance Sheet'!$B$4:$K$4,0))-INDEX('Balance Sheet'!$B$75:$K$75,MATCH(B$4,'Balance Sheet'!$B$4:$K$4,0)))</f>
        <v>0.42764578833693306</v>
      </c>
      <c r="C34" s="10">
        <f>C24/(INDEX('Balance Sheet'!$B$77:$K$77,MATCH(C$4,'Balance Sheet'!$B$4:$K$4,0))-INDEX('Balance Sheet'!$B$75:$K$75,MATCH(C$4,'Balance Sheet'!$B$4:$K$4,0)))</f>
        <v>8.930232558139535E-2</v>
      </c>
      <c r="D34" s="10">
        <f>D24/(INDEX('Balance Sheet'!$B$77:$K$77,MATCH(D$4,'Balance Sheet'!$B$4:$K$4,0))-INDEX('Balance Sheet'!$B$75:$K$75,MATCH(D$4,'Balance Sheet'!$B$4:$K$4,0)))</f>
        <v>0.43792325056433407</v>
      </c>
      <c r="E34" s="10">
        <f>E24/(INDEX('Balance Sheet'!$B$77:$K$77,MATCH(E$4,'Balance Sheet'!$B$4:$K$4,0))-INDEX('Balance Sheet'!$B$75:$K$75,MATCH(E$4,'Balance Sheet'!$B$4:$K$4,0)))</f>
        <v>0.32267235252309878</v>
      </c>
      <c r="F34" s="10">
        <f>F24/(INDEX('Balance Sheet'!$B$77:$K$77,MATCH(F$4,'Balance Sheet'!$B$4:$K$4,0))-INDEX('Balance Sheet'!$B$75:$K$75,MATCH(F$4,'Balance Sheet'!$B$4:$K$4,0)))</f>
        <v>0.1988756148981026</v>
      </c>
      <c r="G34" s="10">
        <f>G24/(INDEX('Balance Sheet'!$B$77:$K$77,MATCH(G$4,'Balance Sheet'!$B$4:$K$4,0))-INDEX('Balance Sheet'!$B$75:$K$75,MATCH(G$4,'Balance Sheet'!$B$4:$K$4,0)))</f>
        <v>0.97109428768066075</v>
      </c>
      <c r="H34" s="10">
        <f>H24/(INDEX('Balance Sheet'!$B$77:$K$77,MATCH(H$4,'Balance Sheet'!$B$4:$K$4,0))-INDEX('Balance Sheet'!$B$75:$K$75,MATCH(H$4,'Balance Sheet'!$B$4:$K$4,0)))</f>
        <v>0.9055489964580874</v>
      </c>
      <c r="I34" s="10">
        <f>I24/(INDEX('Balance Sheet'!$B$77:$K$77,MATCH(I$4,'Balance Sheet'!$B$4:$K$4,0))-INDEX('Balance Sheet'!$B$75:$K$75,MATCH(I$4,'Balance Sheet'!$B$4:$K$4,0)))</f>
        <v>0.83008495752123934</v>
      </c>
      <c r="J34" s="10">
        <f>J24/(INDEX('Balance Sheet'!$B$77:$K$77,MATCH(J$4,'Balance Sheet'!$B$4:$K$4,0))-INDEX('Balance Sheet'!$B$75:$K$75,MATCH(J$4,'Balance Sheet'!$B$4:$K$4,0)))</f>
        <v>0.62132196162046904</v>
      </c>
      <c r="K34" s="10">
        <f>K24/(INDEX('Balance Sheet'!$B$77:$K$77,MATCH(K$4,'Balance Sheet'!$B$4:$K$4,0))-INDEX('Balance Sheet'!$B$75:$K$75,MATCH(K$4,'Balance Sheet'!$B$4:$K$4,0)))</f>
        <v>0.51220881279820374</v>
      </c>
    </row>
    <row r="35" spans="1:13" ht="15" customHeight="1" x14ac:dyDescent="0.2">
      <c r="A35" s="7" t="s">
        <v>41</v>
      </c>
      <c r="B35" s="10">
        <f>B24/INDEX('Balance Sheet'!$B$26:$K$26,MATCH(B$4,'Balance Sheet'!$B$4:$K$4,0))</f>
        <v>0.20297283444387493</v>
      </c>
      <c r="C35" s="10">
        <f>C24/INDEX('Balance Sheet'!$B$26:$K$26,MATCH(C$4,'Balance Sheet'!$B$4:$K$4,0))</f>
        <v>4.7081902893575285E-2</v>
      </c>
      <c r="D35" s="10">
        <f>D24/INDEX('Balance Sheet'!$B$26:$K$26,MATCH(D$4,'Balance Sheet'!$B$4:$K$4,0))</f>
        <v>0.21033610408384532</v>
      </c>
      <c r="E35" s="10">
        <f>E24/INDEX('Balance Sheet'!$B$26:$K$26,MATCH(E$4,'Balance Sheet'!$B$4:$K$4,0))</f>
        <v>0.18102073365231261</v>
      </c>
      <c r="F35" s="10">
        <f>F24/INDEX('Balance Sheet'!$B$26:$K$26,MATCH(F$4,'Balance Sheet'!$B$4:$K$4,0))</f>
        <v>0.12037430880476394</v>
      </c>
      <c r="G35" s="10">
        <f>G24/INDEX('Balance Sheet'!$B$26:$K$26,MATCH(G$4,'Balance Sheet'!$B$4:$K$4,0))</f>
        <v>0.40245293782087849</v>
      </c>
      <c r="H35" s="10">
        <f>H24/INDEX('Balance Sheet'!$B$26:$K$26,MATCH(H$4,'Balance Sheet'!$B$4:$K$4,0))</f>
        <v>0.37764647956671588</v>
      </c>
      <c r="I35" s="10">
        <f>I24/INDEX('Balance Sheet'!$B$26:$K$26,MATCH(I$4,'Balance Sheet'!$B$4:$K$4,0))</f>
        <v>0.32735514387071346</v>
      </c>
      <c r="J35" s="10">
        <f>J24/INDEX('Balance Sheet'!$B$26:$K$26,MATCH(J$4,'Balance Sheet'!$B$4:$K$4,0))</f>
        <v>0.27213298468434816</v>
      </c>
      <c r="K35" s="10">
        <f>K24/INDEX('Balance Sheet'!$B$26:$K$26,MATCH(K$4,'Balance Sheet'!$B$4:$K$4,0))</f>
        <v>0.22852491860756324</v>
      </c>
    </row>
    <row r="36" spans="1:13" ht="15" customHeight="1" x14ac:dyDescent="0.2">
      <c r="A36" s="7" t="s">
        <v>42</v>
      </c>
      <c r="B36" s="10">
        <f>B26/(INDEX('Balance Sheet'!$B$77:$K$77,MATCH(B$4,'Balance Sheet'!$B$4:$K$4,0))-INDEX('Balance Sheet'!$B$75:$K$75,MATCH(B$4,'Balance Sheet'!$B$4:$K$4,0)))</f>
        <v>0.46436285097192226</v>
      </c>
      <c r="C36" s="10">
        <f>C26/(INDEX('Balance Sheet'!$B$77:$K$77,MATCH(C$4,'Balance Sheet'!$B$4:$K$4,0))-INDEX('Balance Sheet'!$B$75:$K$75,MATCH(C$4,'Balance Sheet'!$B$4:$K$4,0)))</f>
        <v>2.4186046511627906E-2</v>
      </c>
      <c r="D36" s="10">
        <f>D26/(INDEX('Balance Sheet'!$B$77:$K$77,MATCH(D$4,'Balance Sheet'!$B$4:$K$4,0))-INDEX('Balance Sheet'!$B$75:$K$75,MATCH(D$4,'Balance Sheet'!$B$4:$K$4,0)))</f>
        <v>0.29270127915726107</v>
      </c>
      <c r="E36" s="10">
        <f>E26/(INDEX('Balance Sheet'!$B$77:$K$77,MATCH(E$4,'Balance Sheet'!$B$4:$K$4,0))-INDEX('Balance Sheet'!$B$75:$K$75,MATCH(E$4,'Balance Sheet'!$B$4:$K$4,0)))</f>
        <v>0.22601279317697229</v>
      </c>
      <c r="F36" s="10">
        <f>F26/(INDEX('Balance Sheet'!$B$77:$K$77,MATCH(F$4,'Balance Sheet'!$B$4:$K$4,0))-INDEX('Balance Sheet'!$B$75:$K$75,MATCH(F$4,'Balance Sheet'!$B$4:$K$4,0)))</f>
        <v>-7.5895994378074497E-2</v>
      </c>
      <c r="G36" s="10">
        <f>G26/(INDEX('Balance Sheet'!$B$77:$K$77,MATCH(G$4,'Balance Sheet'!$B$4:$K$4,0))-INDEX('Balance Sheet'!$B$75:$K$75,MATCH(G$4,'Balance Sheet'!$B$4:$K$4,0)))</f>
        <v>0.67584308327598075</v>
      </c>
      <c r="H36" s="10">
        <f>H26/(INDEX('Balance Sheet'!$B$77:$K$77,MATCH(H$4,'Balance Sheet'!$B$4:$K$4,0))-INDEX('Balance Sheet'!$B$75:$K$75,MATCH(H$4,'Balance Sheet'!$B$4:$K$4,0)))</f>
        <v>0.7384887839433294</v>
      </c>
      <c r="I36" s="10">
        <f>I26/(INDEX('Balance Sheet'!$B$77:$K$77,MATCH(I$4,'Balance Sheet'!$B$4:$K$4,0))-INDEX('Balance Sheet'!$B$75:$K$75,MATCH(I$4,'Balance Sheet'!$B$4:$K$4,0)))</f>
        <v>0.77961019490254868</v>
      </c>
      <c r="J36" s="10">
        <f>J26/(INDEX('Balance Sheet'!$B$77:$K$77,MATCH(J$4,'Balance Sheet'!$B$4:$K$4,0))-INDEX('Balance Sheet'!$B$75:$K$75,MATCH(J$4,'Balance Sheet'!$B$4:$K$4,0)))</f>
        <v>0.48102345415778253</v>
      </c>
      <c r="K36" s="10">
        <f>K26/(INDEX('Balance Sheet'!$B$77:$K$77,MATCH(K$4,'Balance Sheet'!$B$4:$K$4,0))-INDEX('Balance Sheet'!$B$75:$K$75,MATCH(K$4,'Balance Sheet'!$B$4:$K$4,0)))</f>
        <v>0.28852090934605668</v>
      </c>
    </row>
    <row r="37" spans="1:13" ht="15" customHeight="1" x14ac:dyDescent="0.2">
      <c r="A37" s="7" t="s">
        <v>43</v>
      </c>
      <c r="B37" s="10">
        <f>B25/INDEX('Balance Sheet'!$B$26:$K$26,MATCH(B$4,'Balance Sheet'!$B$4:$K$4,0))</f>
        <v>0.30958482829318296</v>
      </c>
      <c r="C37" s="10">
        <f>C25/INDEX('Balance Sheet'!$B$26:$K$26,MATCH(C$4,'Balance Sheet'!$B$4:$K$4,0))</f>
        <v>9.8087297694948505E-2</v>
      </c>
      <c r="D37" s="10">
        <f>D25/INDEX('Balance Sheet'!$B$26:$K$26,MATCH(D$4,'Balance Sheet'!$B$4:$K$4,0))</f>
        <v>0.24539212143115288</v>
      </c>
      <c r="E37" s="10">
        <f>E25/INDEX('Balance Sheet'!$B$26:$K$26,MATCH(E$4,'Balance Sheet'!$B$4:$K$4,0))</f>
        <v>0.24800637958532695</v>
      </c>
      <c r="F37" s="10">
        <f>F25/INDEX('Balance Sheet'!$B$26:$K$26,MATCH(F$4,'Balance Sheet'!$B$4:$K$4,0))</f>
        <v>0.18672905146746066</v>
      </c>
      <c r="G37" s="10">
        <f>G25/INDEX('Balance Sheet'!$B$26:$K$26,MATCH(G$4,'Balance Sheet'!$B$4:$K$4,0))</f>
        <v>0.43839132915002854</v>
      </c>
      <c r="H37" s="10">
        <f>H25/INDEX('Balance Sheet'!$B$26:$K$26,MATCH(H$4,'Balance Sheet'!$B$4:$K$4,0))</f>
        <v>0.42343673067454457</v>
      </c>
      <c r="I37" s="10">
        <f>I25/INDEX('Balance Sheet'!$B$26:$K$26,MATCH(I$4,'Balance Sheet'!$B$4:$K$4,0))</f>
        <v>0.41348048876625937</v>
      </c>
      <c r="J37" s="10">
        <f>J25/INDEX('Balance Sheet'!$B$26:$K$26,MATCH(J$4,'Balance Sheet'!$B$4:$K$4,0))</f>
        <v>0.3446021666044079</v>
      </c>
      <c r="K37" s="10">
        <f>K25/INDEX('Balance Sheet'!$B$26:$K$26,MATCH(K$4,'Balance Sheet'!$B$4:$K$4,0))</f>
        <v>0.31893313298271975</v>
      </c>
    </row>
    <row r="38" spans="1:13" ht="15" customHeight="1" x14ac:dyDescent="0.2">
      <c r="A38" s="7" t="s">
        <v>44</v>
      </c>
      <c r="B38" s="10">
        <f>INDEX('Balance Sheet'!$B$65:$K$65,MATCH(B$4,'Balance Sheet'!$B$4:$K$4,0))/(INDEX('Balance Sheet'!$B$77:$K$77,MATCH(B$4,'Balance Sheet'!$B$4:$K$4,0))-INDEX('Balance Sheet'!$B$75:$K$75,MATCH(B$4,'Balance Sheet'!$B$4:$K$4,0)))</f>
        <v>0.77969762419006483</v>
      </c>
      <c r="C38" s="10">
        <f>INDEX('Balance Sheet'!$B$65:$K$65,MATCH(C$4,'Balance Sheet'!$B$4:$K$4,0))/(INDEX('Balance Sheet'!$B$77:$K$77,MATCH(C$4,'Balance Sheet'!$B$4:$K$4,0))-INDEX('Balance Sheet'!$B$75:$K$75,MATCH(C$4,'Balance Sheet'!$B$4:$K$4,0)))</f>
        <v>0.38139534883720932</v>
      </c>
      <c r="D38" s="10">
        <f>INDEX('Balance Sheet'!$B$65:$K$65,MATCH(D$4,'Balance Sheet'!$B$4:$K$4,0))/(INDEX('Balance Sheet'!$B$77:$K$77,MATCH(D$4,'Balance Sheet'!$B$4:$K$4,0))-INDEX('Balance Sheet'!$B$75:$K$75,MATCH(D$4,'Balance Sheet'!$B$4:$K$4,0)))</f>
        <v>0.64635063957863059</v>
      </c>
      <c r="E38" s="10">
        <f>INDEX('Balance Sheet'!$B$65:$K$65,MATCH(E$4,'Balance Sheet'!$B$4:$K$4,0))/(INDEX('Balance Sheet'!$B$77:$K$77,MATCH(E$4,'Balance Sheet'!$B$4:$K$4,0))-INDEX('Balance Sheet'!$B$75:$K$75,MATCH(E$4,'Balance Sheet'!$B$4:$K$4,0)))</f>
        <v>0.57071783937455578</v>
      </c>
      <c r="F38" s="10">
        <f>INDEX('Balance Sheet'!$B$65:$K$65,MATCH(F$4,'Balance Sheet'!$B$4:$K$4,0))/(INDEX('Balance Sheet'!$B$77:$K$77,MATCH(F$4,'Balance Sheet'!$B$4:$K$4,0))-INDEX('Balance Sheet'!$B$75:$K$75,MATCH(F$4,'Balance Sheet'!$B$4:$K$4,0)))</f>
        <v>0.43007730147575546</v>
      </c>
      <c r="G38" s="10">
        <f>INDEX('Balance Sheet'!$B$65:$K$65,MATCH(G$4,'Balance Sheet'!$B$4:$K$4,0))/(INDEX('Balance Sheet'!$B$77:$K$77,MATCH(G$4,'Balance Sheet'!$B$4:$K$4,0))-INDEX('Balance Sheet'!$B$75:$K$75,MATCH(G$4,'Balance Sheet'!$B$4:$K$4,0)))</f>
        <v>1.183757742601514</v>
      </c>
      <c r="H38" s="10">
        <f>INDEX('Balance Sheet'!$B$65:$K$65,MATCH(H$4,'Balance Sheet'!$B$4:$K$4,0))/(INDEX('Balance Sheet'!$B$77:$K$77,MATCH(H$4,'Balance Sheet'!$B$4:$K$4,0))-INDEX('Balance Sheet'!$B$75:$K$75,MATCH(H$4,'Balance Sheet'!$B$4:$K$4,0)))</f>
        <v>1.1729634002361276</v>
      </c>
      <c r="I38" s="10">
        <f>INDEX('Balance Sheet'!$B$65:$K$65,MATCH(I$4,'Balance Sheet'!$B$4:$K$4,0))/(INDEX('Balance Sheet'!$B$77:$K$77,MATCH(I$4,'Balance Sheet'!$B$4:$K$4,0))-INDEX('Balance Sheet'!$B$75:$K$75,MATCH(I$4,'Balance Sheet'!$B$4:$K$4,0)))</f>
        <v>1.343328335832084</v>
      </c>
      <c r="J38" s="10">
        <f>INDEX('Balance Sheet'!$B$65:$K$65,MATCH(J$4,'Balance Sheet'!$B$4:$K$4,0))/(INDEX('Balance Sheet'!$B$77:$K$77,MATCH(J$4,'Balance Sheet'!$B$4:$K$4,0))-INDEX('Balance Sheet'!$B$75:$K$75,MATCH(J$4,'Balance Sheet'!$B$4:$K$4,0)))</f>
        <v>1.0989339019189766</v>
      </c>
      <c r="K38" s="10">
        <f>INDEX('Balance Sheet'!$B$65:$K$65,MATCH(K$4,'Balance Sheet'!$B$4:$K$4,0))/(INDEX('Balance Sheet'!$B$77:$K$77,MATCH(K$4,'Balance Sheet'!$B$4:$K$4,0))-INDEX('Balance Sheet'!$B$75:$K$75,MATCH(K$4,'Balance Sheet'!$B$4:$K$4,0)))</f>
        <v>1.040415380297502</v>
      </c>
    </row>
    <row r="40" spans="1:13" ht="19.5" customHeight="1" x14ac:dyDescent="0.2">
      <c r="A40" s="2" t="s">
        <v>45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customHeight="1" x14ac:dyDescent="0.2">
      <c r="A41" s="7" t="s">
        <v>46</v>
      </c>
      <c r="B41" s="9">
        <f>(INDEX('Balance Sheet'!$B$14:$K$14,MATCH(B$4,'Balance Sheet'!$B$4:$K$4,0))/INDEX('Income Statement'!$B$5:$K$5,MATCH(B$4,'Income Statement'!$B$4:$K$4,0)))*365</f>
        <v>18.345396059509447</v>
      </c>
      <c r="C41" s="9">
        <f>(AVERAGE(INDEX('Balance Sheet'!$B$14:$K$14,MATCH(C$4,'Balance Sheet'!$B$4:$K$4,0)),INDEX('Balance Sheet'!$B$14:$K$14,MATCH(B$4,'Balance Sheet'!$B$4:$K$4,0)))/INDEX('Income Statement'!$B$5:$K$5,MATCH(C$4,'Income Statement'!$B$4:$K$4,0)))*365</f>
        <v>35.437782237832415</v>
      </c>
      <c r="D41" s="9">
        <f>(AVERAGE(INDEX('Balance Sheet'!$B$14:$K$14,MATCH(D$4,'Balance Sheet'!$B$4:$K$4,0)),INDEX('Balance Sheet'!$B$14:$K$14,MATCH(C$4,'Balance Sheet'!$B$4:$K$4,0)))/INDEX('Income Statement'!$B$5:$K$5,MATCH(D$4,'Income Statement'!$B$4:$K$4,0)))*365</f>
        <v>50.857100415923938</v>
      </c>
      <c r="E41" s="9">
        <f>(AVERAGE(INDEX('Balance Sheet'!$B$14:$K$14,MATCH(E$4,'Balance Sheet'!$B$4:$K$4,0)),INDEX('Balance Sheet'!$B$14:$K$14,MATCH(D$4,'Balance Sheet'!$B$4:$K$4,0)))/INDEX('Income Statement'!$B$5:$K$5,MATCH(E$4,'Income Statement'!$B$4:$K$4,0)))*365</f>
        <v>44.463252314814817</v>
      </c>
      <c r="F41" s="9">
        <f>(AVERAGE(INDEX('Balance Sheet'!$B$14:$K$14,MATCH(F$4,'Balance Sheet'!$B$4:$K$4,0)),INDEX('Balance Sheet'!$B$14:$K$14,MATCH(E$4,'Balance Sheet'!$B$4:$K$4,0)))/INDEX('Income Statement'!$B$5:$K$5,MATCH(F$4,'Income Statement'!$B$4:$K$4,0)))*365</f>
        <v>46.131944444444443</v>
      </c>
      <c r="G41" s="9">
        <f>(AVERAGE(INDEX('Balance Sheet'!$B$14:$K$14,MATCH(G$4,'Balance Sheet'!$B$4:$K$4,0)),INDEX('Balance Sheet'!$B$14:$K$14,MATCH(F$4,'Balance Sheet'!$B$4:$K$4,0)))/INDEX('Income Statement'!$B$5:$K$5,MATCH(G$4,'Income Statement'!$B$4:$K$4,0)))*365</f>
        <v>42.215302491103202</v>
      </c>
      <c r="H41" s="9">
        <f>(AVERAGE(INDEX('Balance Sheet'!$B$14:$K$14,MATCH(H$4,'Balance Sheet'!$B$4:$K$4,0)),INDEX('Balance Sheet'!$B$14:$K$14,MATCH(G$4,'Balance Sheet'!$B$4:$K$4,0)))/INDEX('Income Statement'!$B$5:$K$5,MATCH(H$4,'Income Statement'!$B$4:$K$4,0)))*365</f>
        <v>41.631299734748012</v>
      </c>
      <c r="I41" s="9">
        <f>(AVERAGE(INDEX('Balance Sheet'!$B$14:$K$14,MATCH(I$4,'Balance Sheet'!$B$4:$K$4,0)),INDEX('Balance Sheet'!$B$14:$K$14,MATCH(H$4,'Balance Sheet'!$B$4:$K$4,0)))/INDEX('Income Statement'!$B$5:$K$5,MATCH(I$4,'Income Statement'!$B$4:$K$4,0)))*365</f>
        <v>42.630308880308881</v>
      </c>
      <c r="J41" s="9">
        <f>(AVERAGE(INDEX('Balance Sheet'!$B$14:$K$14,MATCH(J$4,'Balance Sheet'!$B$4:$K$4,0)),INDEX('Balance Sheet'!$B$14:$K$14,MATCH(I$4,'Balance Sheet'!$B$4:$K$4,0)))/INDEX('Income Statement'!$B$5:$K$5,MATCH(J$4,'Income Statement'!$B$4:$K$4,0)))*365</f>
        <v>45.839945450037199</v>
      </c>
      <c r="K41" s="9">
        <f>(AVERAGE(INDEX('Balance Sheet'!$B$14:$K$14,MATCH(K$4,'Balance Sheet'!$B$4:$K$4,0)),INDEX('Balance Sheet'!$B$14:$K$14,MATCH(J$4,'Balance Sheet'!$B$4:$K$4,0)))/INDEX('Income Statement'!$B$5:$K$5,MATCH(K$4,'Income Statement'!$B$4:$K$4,0)))*365</f>
        <v>45.39656349567592</v>
      </c>
    </row>
    <row r="42" spans="1:13" ht="15" customHeight="1" x14ac:dyDescent="0.2">
      <c r="A42" s="7" t="s">
        <v>47</v>
      </c>
      <c r="B42" s="9">
        <f>(INDEX('Balance Sheet'!$B$19:$K$19,MATCH(B$4,'Balance Sheet'!$B$4:$K$4,0))/ABS(INDEX('Income Statement'!$B$6:$K$6,MATCH(B$4,'Income Statement'!$B$4:$K$4,0))))*365</f>
        <v>8.7667436489607393</v>
      </c>
      <c r="C42" s="9">
        <f>(AVERAGE(INDEX('Balance Sheet'!$B$19:$K$19,MATCH(C$4,'Balance Sheet'!$B$4:$K$4,0)),INDEX('Balance Sheet'!$B$19:$K$19,MATCH(B$4,'Balance Sheet'!$B$4:$K$4,0)))/ABS(INDEX('Income Statement'!$B$6:$K$6,MATCH(C$4,'Income Statement'!$B$4:$K$4,0))))*365</f>
        <v>16.551051051051051</v>
      </c>
      <c r="D42" s="9">
        <f>(AVERAGE(INDEX('Balance Sheet'!$B$19:$K$19,MATCH(D$4,'Balance Sheet'!$B$4:$K$4,0)),INDEX('Balance Sheet'!$B$19:$K$19,MATCH(C$4,'Balance Sheet'!$B$4:$K$4,0)))/ABS(INDEX('Income Statement'!$B$6:$K$6,MATCH(D$4,'Income Statement'!$B$4:$K$4,0))))*365</f>
        <v>13.251258087706686</v>
      </c>
      <c r="E42" s="9">
        <f>(AVERAGE(INDEX('Balance Sheet'!$B$19:$K$19,MATCH(E$4,'Balance Sheet'!$B$4:$K$4,0)),INDEX('Balance Sheet'!$B$19:$K$19,MATCH(D$4,'Balance Sheet'!$B$4:$K$4,0)))/ABS(INDEX('Income Statement'!$B$6:$K$6,MATCH(E$4,'Income Statement'!$B$4:$K$4,0))))*365</f>
        <v>0.49125168236877526</v>
      </c>
      <c r="F42" s="9">
        <f>(AVERAGE(INDEX('Balance Sheet'!$B$19:$K$19,MATCH(F$4,'Balance Sheet'!$B$4:$K$4,0)),INDEX('Balance Sheet'!$B$19:$K$19,MATCH(E$4,'Balance Sheet'!$B$4:$K$4,0)))/ABS(INDEX('Income Statement'!$B$6:$K$6,MATCH(F$4,'Income Statement'!$B$4:$K$4,0))))*365</f>
        <v>0.90871369294605808</v>
      </c>
      <c r="G42" s="9">
        <f>(AVERAGE(INDEX('Balance Sheet'!$B$19:$K$19,MATCH(G$4,'Balance Sheet'!$B$4:$K$4,0)),INDEX('Balance Sheet'!$B$19:$K$19,MATCH(F$4,'Balance Sheet'!$B$4:$K$4,0)))/ABS(INDEX('Income Statement'!$B$6:$K$6,MATCH(G$4,'Income Statement'!$B$4:$K$4,0))))*365</f>
        <v>1.6955236486486487</v>
      </c>
      <c r="H42" s="9">
        <f>(AVERAGE(INDEX('Balance Sheet'!$B$19:$K$19,MATCH(H$4,'Balance Sheet'!$B$4:$K$4,0)),INDEX('Balance Sheet'!$B$19:$K$19,MATCH(G$4,'Balance Sheet'!$B$4:$K$4,0)))/ABS(INDEX('Income Statement'!$B$6:$K$6,MATCH(H$4,'Income Statement'!$B$4:$K$4,0))))*365</f>
        <v>2.2933201058201056</v>
      </c>
      <c r="I42" s="9">
        <f>(AVERAGE(INDEX('Balance Sheet'!$B$19:$K$19,MATCH(I$4,'Balance Sheet'!$B$4:$K$4,0)),INDEX('Balance Sheet'!$B$19:$K$19,MATCH(H$4,'Balance Sheet'!$B$4:$K$4,0)))/ABS(INDEX('Income Statement'!$B$6:$K$6,MATCH(I$4,'Income Statement'!$B$4:$K$4,0))))*365</f>
        <v>1.9969077069457661</v>
      </c>
      <c r="J42" s="9">
        <f>(AVERAGE(INDEX('Balance Sheet'!$B$19:$K$19,MATCH(J$4,'Balance Sheet'!$B$4:$K$4,0)),INDEX('Balance Sheet'!$B$19:$K$19,MATCH(I$4,'Balance Sheet'!$B$4:$K$4,0)))/ABS(INDEX('Income Statement'!$B$6:$K$6,MATCH(J$4,'Income Statement'!$B$4:$K$4,0))))*365</f>
        <v>1.2431880108991826</v>
      </c>
      <c r="K42" s="9">
        <f>(AVERAGE(INDEX('Balance Sheet'!$B$19:$K$19,MATCH(K$4,'Balance Sheet'!$B$4:$K$4,0)),INDEX('Balance Sheet'!$B$19:$K$19,MATCH(J$4,'Balance Sheet'!$B$4:$K$4,0)))/ABS(INDEX('Income Statement'!$B$6:$K$6,MATCH(K$4,'Income Statement'!$B$4:$K$4,0))))*365</f>
        <v>1.1388455538221529</v>
      </c>
    </row>
    <row r="43" spans="1:13" ht="15" customHeight="1" x14ac:dyDescent="0.2">
      <c r="A43" s="7" t="s">
        <v>48</v>
      </c>
      <c r="B43" s="9">
        <f>(INDEX('Balance Sheet'!$B$35:$K$35,MATCH(B$4,'Balance Sheet'!$B$4:$K$4,0))/ABS(INDEX('Income Statement'!$B$6:$K$6,MATCH(B$4,'Income Statement'!$B$4:$K$4,0))))*365</f>
        <v>10.958429561200925</v>
      </c>
      <c r="C43" s="9">
        <f>(AVERAGE(INDEX('Balance Sheet'!$B$35:$K$35,MATCH(C$4,'Balance Sheet'!$B$4:$K$4,0)),INDEX('Balance Sheet'!$B$35:$K$35,MATCH(B$4,'Balance Sheet'!$B$4:$K$4,0)))/ABS(INDEX('Income Statement'!$B$6:$K$6,MATCH(C$4,'Income Statement'!$B$4:$K$4,0))))*365</f>
        <v>20.606606606606608</v>
      </c>
      <c r="D43" s="9">
        <f>(AVERAGE(INDEX('Balance Sheet'!$B$35:$K$35,MATCH(D$4,'Balance Sheet'!$B$4:$K$4,0)),INDEX('Balance Sheet'!$B$35:$K$35,MATCH(C$4,'Balance Sheet'!$B$4:$K$4,0)))/ABS(INDEX('Income Statement'!$B$6:$K$6,MATCH(D$4,'Income Statement'!$B$4:$K$4,0))))*365</f>
        <v>31.094536304816675</v>
      </c>
      <c r="E43" s="9">
        <f>(AVERAGE(INDEX('Balance Sheet'!$B$35:$K$35,MATCH(E$4,'Balance Sheet'!$B$4:$K$4,0)),INDEX('Balance Sheet'!$B$35:$K$35,MATCH(D$4,'Balance Sheet'!$B$4:$K$4,0)))/ABS(INDEX('Income Statement'!$B$6:$K$6,MATCH(E$4,'Income Statement'!$B$4:$K$4,0))))*365</f>
        <v>29.352288021534321</v>
      </c>
      <c r="F43" s="9">
        <f>(AVERAGE(INDEX('Balance Sheet'!$B$35:$K$35,MATCH(F$4,'Balance Sheet'!$B$4:$K$4,0)),INDEX('Balance Sheet'!$B$35:$K$35,MATCH(E$4,'Balance Sheet'!$B$4:$K$4,0)))/ABS(INDEX('Income Statement'!$B$6:$K$6,MATCH(F$4,'Income Statement'!$B$4:$K$4,0))))*365</f>
        <v>34.834024896265561</v>
      </c>
      <c r="G43" s="9">
        <f>(AVERAGE(INDEX('Balance Sheet'!$B$35:$K$35,MATCH(G$4,'Balance Sheet'!$B$4:$K$4,0)),INDEX('Balance Sheet'!$B$35:$K$35,MATCH(F$4,'Balance Sheet'!$B$4:$K$4,0)))/ABS(INDEX('Income Statement'!$B$6:$K$6,MATCH(G$4,'Income Statement'!$B$4:$K$4,0))))*365</f>
        <v>32.985641891891895</v>
      </c>
      <c r="H43" s="9">
        <f>(AVERAGE(INDEX('Balance Sheet'!$B$35:$K$35,MATCH(H$4,'Balance Sheet'!$B$4:$K$4,0)),INDEX('Balance Sheet'!$B$35:$K$35,MATCH(G$4,'Balance Sheet'!$B$4:$K$4,0)))/ABS(INDEX('Income Statement'!$B$6:$K$6,MATCH(H$4,'Income Statement'!$B$4:$K$4,0))))*365</f>
        <v>33.43419312169312</v>
      </c>
      <c r="I43" s="9">
        <f>(AVERAGE(INDEX('Balance Sheet'!$B$35:$K$35,MATCH(I$4,'Balance Sheet'!$B$4:$K$4,0)),INDEX('Balance Sheet'!$B$35:$K$35,MATCH(H$4,'Balance Sheet'!$B$4:$K$4,0)))/ABS(INDEX('Income Statement'!$B$6:$K$6,MATCH(I$4,'Income Statement'!$B$4:$K$4,0))))*365</f>
        <v>40.198620361560415</v>
      </c>
      <c r="J43" s="9">
        <f>(AVERAGE(INDEX('Balance Sheet'!$B$35:$K$35,MATCH(J$4,'Balance Sheet'!$B$4:$K$4,0)),INDEX('Balance Sheet'!$B$35:$K$35,MATCH(I$4,'Balance Sheet'!$B$4:$K$4,0)))/ABS(INDEX('Income Statement'!$B$6:$K$6,MATCH(J$4,'Income Statement'!$B$4:$K$4,0))))*365</f>
        <v>36.922683923705719</v>
      </c>
      <c r="K43" s="9">
        <f>(AVERAGE(INDEX('Balance Sheet'!$B$35:$K$35,MATCH(K$4,'Balance Sheet'!$B$4:$K$4,0)),INDEX('Balance Sheet'!$B$35:$K$35,MATCH(J$4,'Balance Sheet'!$B$4:$K$4,0)))/ABS(INDEX('Income Statement'!$B$6:$K$6,MATCH(K$4,'Income Statement'!$B$4:$K$4,0))))*365</f>
        <v>42.080343213728547</v>
      </c>
    </row>
    <row r="44" spans="1:13" ht="15" customHeight="1" x14ac:dyDescent="0.2">
      <c r="A44" s="17" t="s">
        <v>49</v>
      </c>
      <c r="B44" s="19">
        <f t="shared" ref="B44:K44" si="1">B41+B42-B43</f>
        <v>16.153710147269265</v>
      </c>
      <c r="C44" s="19">
        <f t="shared" si="1"/>
        <v>31.382226682276862</v>
      </c>
      <c r="D44" s="19">
        <f t="shared" si="1"/>
        <v>33.013822198813955</v>
      </c>
      <c r="E44" s="19">
        <f t="shared" si="1"/>
        <v>15.602215975649273</v>
      </c>
      <c r="F44" s="19">
        <f t="shared" si="1"/>
        <v>12.206633241124941</v>
      </c>
      <c r="G44" s="19">
        <f t="shared" si="1"/>
        <v>10.925184247859953</v>
      </c>
      <c r="H44" s="19">
        <f t="shared" si="1"/>
        <v>10.490426718875</v>
      </c>
      <c r="I44" s="19">
        <f t="shared" si="1"/>
        <v>4.4285962256942355</v>
      </c>
      <c r="J44" s="19">
        <f t="shared" si="1"/>
        <v>10.160449537230662</v>
      </c>
      <c r="K44" s="19">
        <f t="shared" si="1"/>
        <v>4.4550658357695241</v>
      </c>
    </row>
    <row r="45" spans="1:13" ht="15" customHeight="1" x14ac:dyDescent="0.2">
      <c r="A45" s="7" t="s">
        <v>50</v>
      </c>
      <c r="B45" s="10">
        <f t="shared" ref="B45:K45" si="2">365/B41</f>
        <v>19.896000000000001</v>
      </c>
      <c r="C45" s="10">
        <f t="shared" si="2"/>
        <v>10.299741602067183</v>
      </c>
      <c r="D45" s="10">
        <f t="shared" si="2"/>
        <v>7.1769722814498946</v>
      </c>
      <c r="E45" s="10">
        <f t="shared" si="2"/>
        <v>8.2090261282660322</v>
      </c>
      <c r="F45" s="10">
        <f t="shared" si="2"/>
        <v>7.9120879120879124</v>
      </c>
      <c r="G45" s="10">
        <f t="shared" si="2"/>
        <v>8.6461538461538456</v>
      </c>
      <c r="H45" s="10">
        <f t="shared" si="2"/>
        <v>8.7674418604651159</v>
      </c>
      <c r="I45" s="10">
        <f t="shared" si="2"/>
        <v>8.5619834710743792</v>
      </c>
      <c r="J45" s="10">
        <f t="shared" si="2"/>
        <v>7.9624876604146095</v>
      </c>
      <c r="K45" s="10">
        <f t="shared" si="2"/>
        <v>8.0402561756633126</v>
      </c>
    </row>
    <row r="46" spans="1:13" ht="15" customHeight="1" x14ac:dyDescent="0.2">
      <c r="A46" s="7" t="s">
        <v>51</v>
      </c>
      <c r="B46" s="10">
        <f t="shared" ref="B46:K46" si="3">365/B42</f>
        <v>41.63461538461538</v>
      </c>
      <c r="C46" s="10">
        <f t="shared" si="3"/>
        <v>22.052980132450333</v>
      </c>
      <c r="D46" s="10">
        <f t="shared" si="3"/>
        <v>27.544554455445542</v>
      </c>
      <c r="E46" s="10">
        <f t="shared" si="3"/>
        <v>743</v>
      </c>
      <c r="F46" s="10">
        <f t="shared" si="3"/>
        <v>401.66666666666669</v>
      </c>
      <c r="G46" s="10">
        <f t="shared" si="3"/>
        <v>215.27272727272728</v>
      </c>
      <c r="H46" s="10">
        <f t="shared" si="3"/>
        <v>159.15789473684211</v>
      </c>
      <c r="I46" s="10">
        <f t="shared" si="3"/>
        <v>182.78260869565216</v>
      </c>
      <c r="J46" s="10">
        <f t="shared" si="3"/>
        <v>293.59999999999997</v>
      </c>
      <c r="K46" s="10">
        <f t="shared" si="3"/>
        <v>320.5</v>
      </c>
    </row>
    <row r="47" spans="1:13" ht="18.75" customHeight="1" x14ac:dyDescent="0.2">
      <c r="A47" s="7" t="s">
        <v>52</v>
      </c>
      <c r="B47" s="20">
        <v>3.42</v>
      </c>
      <c r="C47" s="20">
        <v>2.31</v>
      </c>
      <c r="D47" s="20">
        <v>2.0699999999999998</v>
      </c>
      <c r="E47" s="20">
        <v>2.16</v>
      </c>
      <c r="F47" s="20">
        <v>1.86</v>
      </c>
      <c r="G47" s="20">
        <v>1.1100000000000001</v>
      </c>
      <c r="H47" s="20">
        <v>0.94</v>
      </c>
      <c r="I47" s="20">
        <v>1.28</v>
      </c>
      <c r="J47" s="20">
        <v>1.51</v>
      </c>
      <c r="K47" s="20">
        <v>1.45</v>
      </c>
      <c r="M47" s="11"/>
    </row>
    <row r="48" spans="1:13" ht="15" customHeight="1" x14ac:dyDescent="0.2">
      <c r="A48" s="7" t="s">
        <v>53</v>
      </c>
      <c r="B48" s="10">
        <f>INDEX('Income Statement'!$B$5:$K$5,MATCH(B$4,'Income Statement'!$B$4:$K$4,0))/INDEX('Balance Sheet'!$B$26:$K$26,MATCH(B$4,'Balance Sheet'!$B$4:$K$4,0))</f>
        <v>1.2747309072270629</v>
      </c>
      <c r="C48" s="10">
        <f>INDEX('Income Statement'!$B$5:$K$5,MATCH(C$4,'Income Statement'!$B$4:$K$4,0))/AVERAGE(INDEX('Balance Sheet'!$B$26:$K$26,MATCH(C$4,'Balance Sheet'!$B$4:$K$4,0)),INDEX('Balance Sheet'!$B$26:$K$26,MATCH(B$4,'Balance Sheet'!$B$4:$K$4,0)))</f>
        <v>0.99899749373433588</v>
      </c>
      <c r="D48" s="10">
        <f>INDEX('Income Statement'!$B$5:$K$5,MATCH(D$4,'Income Statement'!$B$4:$K$4,0))/AVERAGE(INDEX('Balance Sheet'!$B$26:$K$26,MATCH(D$4,'Balance Sheet'!$B$4:$K$4,0)),INDEX('Balance Sheet'!$B$26:$K$26,MATCH(C$4,'Balance Sheet'!$B$4:$K$4,0)))</f>
        <v>0.70037453183520604</v>
      </c>
      <c r="E48" s="10">
        <f>INDEX('Income Statement'!$B$5:$K$5,MATCH(E$4,'Income Statement'!$B$4:$K$4,0))/AVERAGE(INDEX('Balance Sheet'!$B$26:$K$26,MATCH(E$4,'Balance Sheet'!$B$4:$K$4,0)),INDEX('Balance Sheet'!$B$26:$K$26,MATCH(D$4,'Balance Sheet'!$B$4:$K$4,0)))</f>
        <v>0.65516587677725113</v>
      </c>
      <c r="F48" s="10">
        <f>INDEX('Income Statement'!$B$5:$K$5,MATCH(F$4,'Income Statement'!$B$4:$K$4,0))/AVERAGE(INDEX('Balance Sheet'!$B$26:$K$26,MATCH(F$4,'Balance Sheet'!$B$4:$K$4,0)),INDEX('Balance Sheet'!$B$26:$K$26,MATCH(E$4,'Balance Sheet'!$B$4:$K$4,0)))</f>
        <v>0.59271455031899567</v>
      </c>
      <c r="G48" s="10">
        <f>INDEX('Income Statement'!$B$5:$K$5,MATCH(G$4,'Income Statement'!$B$4:$K$4,0))/AVERAGE(INDEX('Balance Sheet'!$B$26:$K$26,MATCH(G$4,'Balance Sheet'!$B$4:$K$4,0)),INDEX('Balance Sheet'!$B$26:$K$26,MATCH(F$4,'Balance Sheet'!$B$4:$K$4,0)))</f>
        <v>0.47976779921461499</v>
      </c>
      <c r="H48" s="10">
        <f>INDEX('Income Statement'!$B$5:$K$5,MATCH(H$4,'Income Statement'!$B$4:$K$4,0))/AVERAGE(INDEX('Balance Sheet'!$B$26:$K$26,MATCH(H$4,'Balance Sheet'!$B$4:$K$4,0)),INDEX('Balance Sheet'!$B$26:$K$26,MATCH(G$4,'Balance Sheet'!$B$4:$K$4,0)))</f>
        <v>0.49815010570824525</v>
      </c>
      <c r="I48" s="10">
        <f>INDEX('Income Statement'!$B$5:$K$5,MATCH(I$4,'Income Statement'!$B$4:$K$4,0))/AVERAGE(INDEX('Balance Sheet'!$B$26:$K$26,MATCH(I$4,'Balance Sheet'!$B$4:$K$4,0)),INDEX('Balance Sheet'!$B$26:$K$26,MATCH(H$4,'Balance Sheet'!$B$4:$K$4,0)))</f>
        <v>0.68038528896672501</v>
      </c>
      <c r="J48" s="10">
        <f>INDEX('Income Statement'!$B$5:$K$5,MATCH(J$4,'Income Statement'!$B$4:$K$4,0))/AVERAGE(INDEX('Balance Sheet'!$B$26:$K$26,MATCH(J$4,'Balance Sheet'!$B$4:$K$4,0)),INDEX('Balance Sheet'!$B$26:$K$26,MATCH(I$4,'Balance Sheet'!$B$4:$K$4,0)))</f>
        <v>0.77349443805140006</v>
      </c>
      <c r="K48" s="10">
        <f>INDEX('Income Statement'!$B$5:$K$5,MATCH(K$4,'Income Statement'!$B$4:$K$4,0))/AVERAGE(INDEX('Balance Sheet'!$B$26:$K$26,MATCH(K$4,'Balance Sheet'!$B$4:$K$4,0)),INDEX('Balance Sheet'!$B$26:$K$26,MATCH(J$4,'Balance Sheet'!$B$4:$K$4,0)))</f>
        <v>0.65877061469265363</v>
      </c>
    </row>
    <row r="49" spans="1:11" ht="15" customHeight="1" x14ac:dyDescent="0.2">
      <c r="A49" s="7" t="s">
        <v>54</v>
      </c>
      <c r="B49" s="10">
        <f>INDEX('Income Statement'!$B$5:$K$5,MATCH(B$4,'Income Statement'!$B$4:$K$4,0))/B27</f>
        <v>18.153284671532848</v>
      </c>
      <c r="C49" s="10">
        <f>INDEX('Income Statement'!$B$5:$K$5,MATCH(C$4,'Income Statement'!$B$4:$K$4,0))/C27</f>
        <v>5.2864721485411144</v>
      </c>
      <c r="D49" s="10">
        <f>INDEX('Income Statement'!$B$5:$K$5,MATCH(D$4,'Income Statement'!$B$4:$K$4,0))/D27</f>
        <v>2.3704225352112678</v>
      </c>
      <c r="E49" s="10">
        <f>INDEX('Income Statement'!$B$5:$K$5,MATCH(E$4,'Income Statement'!$B$4:$K$4,0))/E27</f>
        <v>2.6301369863013697</v>
      </c>
      <c r="F49" s="10">
        <f>INDEX('Income Statement'!$B$5:$K$5,MATCH(F$4,'Income Statement'!$B$4:$K$4,0))/F27</f>
        <v>2.5714285714285716</v>
      </c>
      <c r="G49" s="10">
        <f>INDEX('Income Statement'!$B$5:$K$5,MATCH(G$4,'Income Statement'!$B$4:$K$4,0))/G27</f>
        <v>2.0907738095238093</v>
      </c>
      <c r="H49" s="10">
        <f>INDEX('Income Statement'!$B$5:$K$5,MATCH(H$4,'Income Statement'!$B$4:$K$4,0))/H27</f>
        <v>3.8235294117647061</v>
      </c>
      <c r="I49" s="10">
        <f>INDEX('Income Statement'!$B$5:$K$5,MATCH(I$4,'Income Statement'!$B$4:$K$4,0))/I27</f>
        <v>8.3324396782841816</v>
      </c>
      <c r="J49" s="10">
        <f>INDEX('Income Statement'!$B$5:$K$5,MATCH(J$4,'Income Statement'!$B$4:$K$4,0))/J27</f>
        <v>7.7112810707456978</v>
      </c>
      <c r="K49" s="10">
        <f>INDEX('Income Statement'!$B$5:$K$5,MATCH(K$4,'Income Statement'!$B$4:$K$4,0))/K27</f>
        <v>6.2149929278642153</v>
      </c>
    </row>
    <row r="50" spans="1:11" ht="15" customHeight="1" x14ac:dyDescent="0.2">
      <c r="A50" s="7" t="s">
        <v>55</v>
      </c>
      <c r="B50" s="10">
        <f t="shared" ref="B50:K50" si="4">B30</f>
        <v>1.4521452145214522</v>
      </c>
      <c r="C50" s="10">
        <f t="shared" si="4"/>
        <v>2.2823129251700682</v>
      </c>
      <c r="D50" s="10">
        <f t="shared" si="4"/>
        <v>3.751937984496124</v>
      </c>
      <c r="E50" s="10">
        <f t="shared" si="4"/>
        <v>3.0091743119266057</v>
      </c>
      <c r="F50" s="10">
        <f t="shared" si="4"/>
        <v>2.8181818181818183</v>
      </c>
      <c r="G50" s="10">
        <f t="shared" si="4"/>
        <v>3.3914590747330959</v>
      </c>
      <c r="H50" s="10">
        <f t="shared" si="4"/>
        <v>2.1710213776722092</v>
      </c>
      <c r="I50" s="10">
        <f t="shared" si="4"/>
        <v>1.428735632183908</v>
      </c>
      <c r="J50" s="10">
        <f t="shared" si="4"/>
        <v>1.5540254237288136</v>
      </c>
      <c r="K50" s="10">
        <f t="shared" si="4"/>
        <v>1.4435382685069009</v>
      </c>
    </row>
    <row r="52" spans="1:11" ht="19.5" customHeight="1" x14ac:dyDescent="0.2">
      <c r="A52" s="2" t="s">
        <v>56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5" customHeight="1" x14ac:dyDescent="0.2">
      <c r="A53" s="7" t="s">
        <v>57</v>
      </c>
      <c r="B53" s="16">
        <f>INDEX('Cash Flow'!$B$18:$K$18,MATCH(B$4,'Cash Flow'!$B$4:$K$4,0))</f>
        <v>151</v>
      </c>
      <c r="C53" s="16">
        <f>INDEX('Cash Flow'!$B$18:$K$18,MATCH(C$4,'Cash Flow'!$B$4:$K$4,0))</f>
        <v>-115</v>
      </c>
      <c r="D53" s="16">
        <f>INDEX('Cash Flow'!$B$18:$K$18,MATCH(D$4,'Cash Flow'!$B$4:$K$4,0))</f>
        <v>154</v>
      </c>
      <c r="E53" s="16">
        <f>INDEX('Cash Flow'!$B$18:$K$18,MATCH(E$4,'Cash Flow'!$B$4:$K$4,0))</f>
        <v>66</v>
      </c>
      <c r="F53" s="16">
        <f>INDEX('Cash Flow'!$B$18:$K$18,MATCH(F$4,'Cash Flow'!$B$4:$K$4,0))</f>
        <v>241</v>
      </c>
      <c r="G53" s="16">
        <f>INDEX('Cash Flow'!$B$18:$K$18,MATCH(G$4,'Cash Flow'!$B$4:$K$4,0))</f>
        <v>-51</v>
      </c>
      <c r="H53" s="16">
        <f>INDEX('Cash Flow'!$B$18:$K$18,MATCH(H$4,'Cash Flow'!$B$4:$K$4,0))</f>
        <v>184</v>
      </c>
      <c r="I53" s="16">
        <f>INDEX('Cash Flow'!$B$18:$K$18,MATCH(I$4,'Cash Flow'!$B$4:$K$4,0))</f>
        <v>674</v>
      </c>
      <c r="J53" s="16">
        <f>INDEX('Cash Flow'!$B$18:$K$18,MATCH(J$4,'Cash Flow'!$B$4:$K$4,0))</f>
        <v>773</v>
      </c>
      <c r="K53" s="16">
        <f>INDEX('Cash Flow'!$B$18:$K$18,MATCH(K$4,'Cash Flow'!$B$4:$K$4,0))</f>
        <v>883</v>
      </c>
    </row>
    <row r="54" spans="1:11" ht="15" customHeight="1" x14ac:dyDescent="0.2">
      <c r="A54" s="7" t="s">
        <v>58</v>
      </c>
      <c r="B54" s="16">
        <f>INDEX('Cash Flow'!$B$21:$K$21,MATCH(B$4,'Cash Flow'!$B$4:$K$4,0))</f>
        <v>-154</v>
      </c>
      <c r="C54" s="16">
        <f>INDEX('Cash Flow'!$B$21:$K$21,MATCH(C$4,'Cash Flow'!$B$4:$K$4,0))</f>
        <v>-11</v>
      </c>
      <c r="D54" s="16">
        <f>INDEX('Cash Flow'!$B$21:$K$21,MATCH(D$4,'Cash Flow'!$B$4:$K$4,0))</f>
        <v>-13</v>
      </c>
      <c r="E54" s="16">
        <f>INDEX('Cash Flow'!$B$21:$K$21,MATCH(E$4,'Cash Flow'!$B$4:$K$4,0))</f>
        <v>-137</v>
      </c>
      <c r="F54" s="16">
        <f>INDEX('Cash Flow'!$B$21:$K$21,MATCH(F$4,'Cash Flow'!$B$4:$K$4,0))</f>
        <v>-28</v>
      </c>
      <c r="G54" s="16">
        <f>INDEX('Cash Flow'!$B$21:$K$21,MATCH(G$4,'Cash Flow'!$B$4:$K$4,0))</f>
        <v>-995</v>
      </c>
      <c r="H54" s="16">
        <f>INDEX('Cash Flow'!$B$21:$K$21,MATCH(H$4,'Cash Flow'!$B$4:$K$4,0))</f>
        <v>-335</v>
      </c>
      <c r="I54" s="16">
        <f>INDEX('Cash Flow'!$B$21:$K$21,MATCH(I$4,'Cash Flow'!$B$4:$K$4,0))</f>
        <v>-538</v>
      </c>
      <c r="J54" s="16">
        <f>INDEX('Cash Flow'!$B$21:$K$21,MATCH(J$4,'Cash Flow'!$B$4:$K$4,0))</f>
        <v>-164</v>
      </c>
      <c r="K54" s="16">
        <f>INDEX('Cash Flow'!$B$21:$K$21,MATCH(K$4,'Cash Flow'!$B$4:$K$4,0))</f>
        <v>-745</v>
      </c>
    </row>
    <row r="55" spans="1:11" ht="15" customHeight="1" x14ac:dyDescent="0.2">
      <c r="A55" s="17" t="s">
        <v>59</v>
      </c>
      <c r="B55" s="18">
        <f t="shared" ref="B55:K55" si="5">B53+B54</f>
        <v>-3</v>
      </c>
      <c r="C55" s="18">
        <f t="shared" si="5"/>
        <v>-126</v>
      </c>
      <c r="D55" s="18">
        <f t="shared" si="5"/>
        <v>141</v>
      </c>
      <c r="E55" s="18">
        <f t="shared" si="5"/>
        <v>-71</v>
      </c>
      <c r="F55" s="18">
        <f t="shared" si="5"/>
        <v>213</v>
      </c>
      <c r="G55" s="18">
        <f t="shared" si="5"/>
        <v>-1046</v>
      </c>
      <c r="H55" s="18">
        <f t="shared" si="5"/>
        <v>-151</v>
      </c>
      <c r="I55" s="18">
        <f t="shared" si="5"/>
        <v>136</v>
      </c>
      <c r="J55" s="18">
        <f t="shared" si="5"/>
        <v>609</v>
      </c>
      <c r="K55" s="18">
        <f t="shared" si="5"/>
        <v>138</v>
      </c>
    </row>
    <row r="56" spans="1:11" ht="15" customHeight="1" x14ac:dyDescent="0.2">
      <c r="A56" s="17" t="s">
        <v>60</v>
      </c>
      <c r="B56" s="21">
        <f t="shared" ref="B56:K56" si="6">B55/B6</f>
        <v>-0.73529411764705876</v>
      </c>
      <c r="C56" s="21">
        <f t="shared" si="6"/>
        <v>-30.882352941176471</v>
      </c>
      <c r="D56" s="21">
        <f t="shared" si="6"/>
        <v>33.333333333333329</v>
      </c>
      <c r="E56" s="21">
        <f t="shared" si="6"/>
        <v>-16.784869976359335</v>
      </c>
      <c r="F56" s="21">
        <f t="shared" si="6"/>
        <v>50.354609929078009</v>
      </c>
      <c r="G56" s="21">
        <f t="shared" si="6"/>
        <v>-247.28132387706853</v>
      </c>
      <c r="H56" s="21">
        <f t="shared" si="6"/>
        <v>-35.697399527186761</v>
      </c>
      <c r="I56" s="21">
        <f t="shared" si="6"/>
        <v>32.15130023640662</v>
      </c>
      <c r="J56" s="21">
        <f t="shared" si="6"/>
        <v>143.97163120567373</v>
      </c>
      <c r="K56" s="21">
        <f t="shared" si="6"/>
        <v>32.624113475177303</v>
      </c>
    </row>
    <row r="59" spans="1:11" ht="60" customHeight="1" x14ac:dyDescent="0.2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</row>
  </sheetData>
  <mergeCells count="3">
    <mergeCell ref="A1:K1"/>
    <mergeCell ref="A2:K2"/>
    <mergeCell ref="A59:K5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6640625" defaultRowHeight="15" x14ac:dyDescent="0.2"/>
  <cols>
    <col min="1" max="1" width="29.1640625" customWidth="1"/>
    <col min="2" max="2" width="32" customWidth="1"/>
    <col min="3" max="3" width="78" customWidth="1"/>
    <col min="4" max="4" width="28" customWidth="1"/>
    <col min="5" max="5" width="14" customWidth="1"/>
  </cols>
  <sheetData>
    <row r="1" spans="1:8" ht="24" customHeight="1" x14ac:dyDescent="0.2">
      <c r="A1" s="102" t="s">
        <v>61</v>
      </c>
      <c r="B1" s="102"/>
      <c r="C1" s="102"/>
      <c r="D1" s="102"/>
      <c r="E1" s="102"/>
    </row>
    <row r="2" spans="1:8" ht="18" customHeight="1" x14ac:dyDescent="0.2">
      <c r="A2" s="103"/>
      <c r="B2" s="103"/>
      <c r="C2" s="103"/>
      <c r="D2" s="103"/>
      <c r="E2" s="103"/>
    </row>
    <row r="4" spans="1:8" ht="18" customHeight="1" x14ac:dyDescent="0.2">
      <c r="A4" s="22" t="s">
        <v>62</v>
      </c>
      <c r="B4" s="22" t="s">
        <v>63</v>
      </c>
      <c r="C4" s="23" t="s">
        <v>64</v>
      </c>
    </row>
    <row r="5" spans="1:8" ht="15" customHeight="1" x14ac:dyDescent="0.2">
      <c r="A5" s="24" t="s">
        <v>65</v>
      </c>
      <c r="B5" s="25" t="s">
        <v>66</v>
      </c>
      <c r="C5" s="26" t="s">
        <v>67</v>
      </c>
    </row>
    <row r="6" spans="1:8" ht="15" customHeight="1" x14ac:dyDescent="0.2">
      <c r="A6" s="24" t="s">
        <v>65</v>
      </c>
      <c r="B6" s="25" t="s">
        <v>68</v>
      </c>
      <c r="C6" s="26" t="s">
        <v>69</v>
      </c>
    </row>
    <row r="7" spans="1:8" ht="15" customHeight="1" x14ac:dyDescent="0.2">
      <c r="A7" s="24" t="s">
        <v>65</v>
      </c>
      <c r="B7" s="25" t="s">
        <v>70</v>
      </c>
      <c r="C7" s="26" t="s">
        <v>71</v>
      </c>
    </row>
    <row r="8" spans="1:8" ht="15" customHeight="1" x14ac:dyDescent="0.2">
      <c r="A8" s="24" t="s">
        <v>65</v>
      </c>
      <c r="B8" s="25" t="s">
        <v>72</v>
      </c>
      <c r="C8" s="26" t="s">
        <v>73</v>
      </c>
    </row>
    <row r="9" spans="1:8" ht="15" customHeight="1" x14ac:dyDescent="0.2">
      <c r="A9" s="24" t="s">
        <v>74</v>
      </c>
      <c r="B9" s="25" t="s">
        <v>75</v>
      </c>
      <c r="C9" s="27">
        <v>890</v>
      </c>
      <c r="H9" s="28"/>
    </row>
    <row r="10" spans="1:8" ht="15" customHeight="1" x14ac:dyDescent="0.2">
      <c r="A10" s="24" t="s">
        <v>74</v>
      </c>
      <c r="B10" s="25" t="s">
        <v>14</v>
      </c>
      <c r="C10" s="29">
        <v>21.14</v>
      </c>
    </row>
    <row r="11" spans="1:8" ht="15" customHeight="1" x14ac:dyDescent="0.2">
      <c r="A11" s="24" t="s">
        <v>74</v>
      </c>
      <c r="B11" s="25" t="s">
        <v>76</v>
      </c>
      <c r="C11" s="30">
        <f>C9*C10</f>
        <v>18814.600000000002</v>
      </c>
    </row>
    <row r="12" spans="1:8" ht="15" customHeight="1" x14ac:dyDescent="0.2">
      <c r="A12" s="24" t="s">
        <v>74</v>
      </c>
      <c r="B12" s="25" t="s">
        <v>77</v>
      </c>
      <c r="C12" s="30">
        <f>C11+'Key Ratio'!K25-'Balance Sheet'!K10</f>
        <v>19842.600000000002</v>
      </c>
    </row>
    <row r="13" spans="1:8" ht="15" customHeight="1" x14ac:dyDescent="0.2">
      <c r="A13" s="24" t="s">
        <v>74</v>
      </c>
      <c r="B13" s="25" t="s">
        <v>78</v>
      </c>
      <c r="C13" s="29">
        <v>2.86</v>
      </c>
    </row>
    <row r="14" spans="1:8" ht="15" customHeight="1" x14ac:dyDescent="0.2">
      <c r="A14" s="24" t="s">
        <v>74</v>
      </c>
      <c r="B14" s="25" t="s">
        <v>79</v>
      </c>
      <c r="C14" s="31"/>
    </row>
    <row r="15" spans="1:8" ht="15" customHeight="1" x14ac:dyDescent="0.2">
      <c r="A15" s="24" t="s">
        <v>74</v>
      </c>
      <c r="B15" s="25" t="s">
        <v>80</v>
      </c>
      <c r="C15" s="31"/>
    </row>
    <row r="16" spans="1:8" ht="15" customHeight="1" x14ac:dyDescent="0.2">
      <c r="A16" s="24" t="s">
        <v>74</v>
      </c>
      <c r="B16" s="25" t="s">
        <v>81</v>
      </c>
      <c r="C16" s="27"/>
    </row>
    <row r="17" spans="1:11" ht="15" customHeight="1" x14ac:dyDescent="0.2">
      <c r="A17" s="24" t="s">
        <v>74</v>
      </c>
      <c r="B17" s="25" t="s">
        <v>82</v>
      </c>
      <c r="C17" s="27"/>
    </row>
    <row r="18" spans="1:11" ht="15" customHeight="1" x14ac:dyDescent="0.2">
      <c r="A18" s="24" t="s">
        <v>74</v>
      </c>
      <c r="B18" s="25" t="s">
        <v>83</v>
      </c>
      <c r="C18" s="27"/>
    </row>
    <row r="19" spans="1:11" ht="15" customHeight="1" x14ac:dyDescent="0.2">
      <c r="A19" s="24" t="s">
        <v>74</v>
      </c>
      <c r="B19" s="25" t="s">
        <v>84</v>
      </c>
      <c r="C19" s="26" t="s">
        <v>85</v>
      </c>
    </row>
    <row r="21" spans="1:11" ht="31.5" customHeight="1" x14ac:dyDescent="0.2">
      <c r="A21" s="104"/>
      <c r="B21" s="104"/>
      <c r="C21" s="104"/>
      <c r="D21" s="104"/>
      <c r="E21" s="104"/>
    </row>
    <row r="23" spans="1:11" ht="15" customHeight="1" x14ac:dyDescent="0.2">
      <c r="A23" s="105" t="s">
        <v>86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</row>
    <row r="24" spans="1:11" ht="15" customHeight="1" x14ac:dyDescent="0.2">
      <c r="A24" s="32" t="s">
        <v>1</v>
      </c>
      <c r="B24" s="33" t="s">
        <v>2</v>
      </c>
      <c r="C24" s="33" t="s">
        <v>3</v>
      </c>
      <c r="D24" s="33" t="s">
        <v>4</v>
      </c>
      <c r="E24" s="33" t="s">
        <v>5</v>
      </c>
      <c r="F24" s="33" t="s">
        <v>6</v>
      </c>
      <c r="G24" s="33" t="s">
        <v>7</v>
      </c>
      <c r="H24" s="33" t="s">
        <v>8</v>
      </c>
      <c r="I24" s="33" t="s">
        <v>9</v>
      </c>
      <c r="J24" s="33" t="s">
        <v>10</v>
      </c>
      <c r="K24" s="33" t="s">
        <v>11</v>
      </c>
    </row>
    <row r="25" spans="1:11" ht="15" customHeight="1" x14ac:dyDescent="0.2">
      <c r="A25" s="34" t="s">
        <v>87</v>
      </c>
      <c r="B25" s="35">
        <v>200</v>
      </c>
      <c r="C25" s="35">
        <v>300</v>
      </c>
      <c r="D25" s="35">
        <v>325</v>
      </c>
      <c r="E25" s="35">
        <v>190</v>
      </c>
      <c r="F25" s="35">
        <v>250</v>
      </c>
      <c r="G25" s="35">
        <v>180</v>
      </c>
      <c r="H25" s="35">
        <v>1050</v>
      </c>
      <c r="I25" s="35">
        <v>1410</v>
      </c>
      <c r="J25" s="35">
        <v>2725</v>
      </c>
      <c r="K25" s="36">
        <v>6100</v>
      </c>
    </row>
    <row r="26" spans="1:11" ht="15" customHeight="1" x14ac:dyDescent="0.2">
      <c r="A26" s="34" t="s">
        <v>14</v>
      </c>
      <c r="B26" s="37">
        <f>'Key Ratio'!B6</f>
        <v>4.08</v>
      </c>
      <c r="C26" s="37">
        <f>'Key Ratio'!C6</f>
        <v>4.08</v>
      </c>
      <c r="D26" s="37">
        <f>'Key Ratio'!D6</f>
        <v>4.2300000000000004</v>
      </c>
      <c r="E26" s="37">
        <f>'Key Ratio'!E6</f>
        <v>4.2300000000000004</v>
      </c>
      <c r="F26" s="37">
        <f>'Key Ratio'!F6</f>
        <v>4.2300000000000004</v>
      </c>
      <c r="G26" s="37">
        <f>'Key Ratio'!G6</f>
        <v>4.2300000000000004</v>
      </c>
      <c r="H26" s="37">
        <f>'Key Ratio'!H6</f>
        <v>4.2300000000000004</v>
      </c>
      <c r="I26" s="37">
        <f>'Key Ratio'!I6</f>
        <v>4.2300000000000004</v>
      </c>
      <c r="J26" s="37">
        <f>'Key Ratio'!J6</f>
        <v>4.2300000000000004</v>
      </c>
      <c r="K26" s="37">
        <f>'Key Ratio'!K6</f>
        <v>4.2300000000000004</v>
      </c>
    </row>
    <row r="27" spans="1:11" ht="15" customHeight="1" x14ac:dyDescent="0.2">
      <c r="A27" s="34" t="s">
        <v>76</v>
      </c>
      <c r="B27" s="38">
        <f t="shared" ref="B27:K27" si="0">B25*B26</f>
        <v>816</v>
      </c>
      <c r="C27" s="38">
        <f t="shared" si="0"/>
        <v>1224</v>
      </c>
      <c r="D27" s="38">
        <f t="shared" si="0"/>
        <v>1374.7500000000002</v>
      </c>
      <c r="E27" s="38">
        <f t="shared" si="0"/>
        <v>803.7</v>
      </c>
      <c r="F27" s="38">
        <f t="shared" si="0"/>
        <v>1057.5</v>
      </c>
      <c r="G27" s="38">
        <f t="shared" si="0"/>
        <v>761.40000000000009</v>
      </c>
      <c r="H27" s="38">
        <f t="shared" si="0"/>
        <v>4441.5</v>
      </c>
      <c r="I27" s="38">
        <f t="shared" si="0"/>
        <v>5964.3</v>
      </c>
      <c r="J27" s="38">
        <f t="shared" si="0"/>
        <v>11526.750000000002</v>
      </c>
      <c r="K27" s="38">
        <f t="shared" si="0"/>
        <v>25803.000000000004</v>
      </c>
    </row>
    <row r="28" spans="1:11" ht="15" customHeight="1" x14ac:dyDescent="0.2">
      <c r="A28" s="34" t="s">
        <v>88</v>
      </c>
      <c r="B28" s="38">
        <f>'Key Ratio'!B25</f>
        <v>604</v>
      </c>
      <c r="C28" s="38">
        <f>'Key Ratio'!C25</f>
        <v>200</v>
      </c>
      <c r="D28" s="38">
        <f>'Key Ratio'!D25</f>
        <v>679</v>
      </c>
      <c r="E28" s="38">
        <f>'Key Ratio'!E25</f>
        <v>622</v>
      </c>
      <c r="F28" s="38">
        <f>'Key Ratio'!F25</f>
        <v>439</v>
      </c>
      <c r="G28" s="38">
        <f>'Key Ratio'!G25</f>
        <v>1537</v>
      </c>
      <c r="H28" s="38">
        <f>'Key Ratio'!H25</f>
        <v>1720</v>
      </c>
      <c r="I28" s="38">
        <f>'Key Ratio'!I25</f>
        <v>2098</v>
      </c>
      <c r="J28" s="38">
        <f>'Key Ratio'!J25</f>
        <v>1845</v>
      </c>
      <c r="K28" s="38">
        <f>'Key Ratio'!K25</f>
        <v>2547</v>
      </c>
    </row>
    <row r="29" spans="1:11" ht="15" customHeight="1" x14ac:dyDescent="0.2">
      <c r="A29" s="34" t="s">
        <v>89</v>
      </c>
      <c r="B29" s="38">
        <f>INDEX('Balance Sheet'!$B$10:$K$10,MATCH(B$24,'Balance Sheet'!$B$4:$K$4,0))</f>
        <v>174</v>
      </c>
      <c r="C29" s="38">
        <f>INDEX('Balance Sheet'!$B$10:$K$10,MATCH(C$24,'Balance Sheet'!$B$4:$K$4,0))</f>
        <v>174</v>
      </c>
      <c r="D29" s="38">
        <f>INDEX('Balance Sheet'!$B$10:$K$10,MATCH(D$24,'Balance Sheet'!$B$4:$K$4,0))</f>
        <v>290</v>
      </c>
      <c r="E29" s="38">
        <f>INDEX('Balance Sheet'!$B$10:$K$10,MATCH(E$24,'Balance Sheet'!$B$4:$K$4,0))</f>
        <v>304</v>
      </c>
      <c r="F29" s="38">
        <f>INDEX('Balance Sheet'!$B$10:$K$10,MATCH(F$24,'Balance Sheet'!$B$4:$K$4,0))</f>
        <v>547</v>
      </c>
      <c r="G29" s="38">
        <f>INDEX('Balance Sheet'!$B$10:$K$10,MATCH(G$24,'Balance Sheet'!$B$4:$K$4,0))</f>
        <v>555</v>
      </c>
      <c r="H29" s="38">
        <f>INDEX('Balance Sheet'!$B$10:$K$10,MATCH(H$24,'Balance Sheet'!$B$4:$K$4,0))</f>
        <v>469</v>
      </c>
      <c r="I29" s="38">
        <f>INDEX('Balance Sheet'!$B$10:$K$10,MATCH(I$24,'Balance Sheet'!$B$4:$K$4,0))</f>
        <v>538</v>
      </c>
      <c r="J29" s="38">
        <f>INDEX('Balance Sheet'!$B$10:$K$10,MATCH(J$24,'Balance Sheet'!$B$4:$K$4,0))</f>
        <v>717</v>
      </c>
      <c r="K29" s="38">
        <f>INDEX('Balance Sheet'!$B$10:$K$10,MATCH(K$24,'Balance Sheet'!$B$4:$K$4,0))</f>
        <v>1519</v>
      </c>
    </row>
    <row r="30" spans="1:11" ht="15" customHeight="1" x14ac:dyDescent="0.2">
      <c r="A30" s="34" t="s">
        <v>77</v>
      </c>
      <c r="B30" s="38">
        <f t="shared" ref="B30:K30" si="1">B27+B28-B29</f>
        <v>1246</v>
      </c>
      <c r="C30" s="38">
        <f t="shared" si="1"/>
        <v>1250</v>
      </c>
      <c r="D30" s="38">
        <f t="shared" si="1"/>
        <v>1763.75</v>
      </c>
      <c r="E30" s="38">
        <f t="shared" si="1"/>
        <v>1121.7</v>
      </c>
      <c r="F30" s="38">
        <f t="shared" si="1"/>
        <v>949.5</v>
      </c>
      <c r="G30" s="38">
        <f t="shared" si="1"/>
        <v>1743.4</v>
      </c>
      <c r="H30" s="38">
        <f t="shared" si="1"/>
        <v>5692.5</v>
      </c>
      <c r="I30" s="38">
        <f t="shared" si="1"/>
        <v>7524.3</v>
      </c>
      <c r="J30" s="38">
        <f t="shared" si="1"/>
        <v>12654.750000000002</v>
      </c>
      <c r="K30" s="38">
        <f t="shared" si="1"/>
        <v>26831.000000000004</v>
      </c>
    </row>
    <row r="31" spans="1:11" ht="15" customHeight="1" x14ac:dyDescent="0.2">
      <c r="A31" s="34" t="s">
        <v>90</v>
      </c>
      <c r="B31" s="39">
        <f>B25/'Key Ratio'!B7</f>
        <v>9.3793103448275854</v>
      </c>
      <c r="C31" s="39">
        <f>C25/'Key Ratio'!C7</f>
        <v>7.8461538461538467</v>
      </c>
      <c r="D31" s="39">
        <f>D25/'Key Ratio'!D7</f>
        <v>8.4340490797546028</v>
      </c>
      <c r="E31" s="39">
        <f>E25/'Key Ratio'!E7</f>
        <v>9.9222222222222225</v>
      </c>
      <c r="F31" s="39">
        <f>F25/'Key Ratio'!F7</f>
        <v>52.875</v>
      </c>
      <c r="G31" s="39">
        <f>G25/'Key Ratio'!G7</f>
        <v>23.793750000000003</v>
      </c>
      <c r="H31" s="39">
        <f>H25/'Key Ratio'!H7</f>
        <v>33.904580152671755</v>
      </c>
      <c r="I31" s="39">
        <f>I25/'Key Ratio'!I7</f>
        <v>15.253964194373403</v>
      </c>
      <c r="J31" s="39">
        <f>J25/'Key Ratio'!J7</f>
        <v>28.461111111111116</v>
      </c>
      <c r="K31" s="39">
        <f>K25/'Key Ratio'!K7</f>
        <v>57.467706013363035</v>
      </c>
    </row>
    <row r="32" spans="1:11" ht="15" customHeight="1" x14ac:dyDescent="0.2">
      <c r="A32" s="34" t="s">
        <v>91</v>
      </c>
      <c r="B32" s="39">
        <f>B27/INDEX('Income Statement'!$B$5:$K$5,MATCH(B$24,'Income Statement'!$B$4:$K$4,0))</f>
        <v>0.32810615199034981</v>
      </c>
      <c r="C32" s="39">
        <f>C27/INDEX('Income Statement'!$B$5:$K$5,MATCH(C$24,'Income Statement'!$B$4:$K$4,0))</f>
        <v>0.61414952333166084</v>
      </c>
      <c r="D32" s="39">
        <f>D27/INDEX('Income Statement'!$B$5:$K$5,MATCH(D$24,'Income Statement'!$B$4:$K$4,0))</f>
        <v>0.81684491978609641</v>
      </c>
      <c r="E32" s="39">
        <f>E27/INDEX('Income Statement'!$B$5:$K$5,MATCH(E$24,'Income Statement'!$B$4:$K$4,0))</f>
        <v>0.46510416666666671</v>
      </c>
      <c r="F32" s="39">
        <f>F27/INDEX('Income Statement'!$B$5:$K$5,MATCH(F$24,'Income Statement'!$B$4:$K$4,0))</f>
        <v>0.734375</v>
      </c>
      <c r="G32" s="39">
        <f>G27/INDEX('Income Statement'!$B$5:$K$5,MATCH(G$24,'Income Statement'!$B$4:$K$4,0))</f>
        <v>0.54192170818505347</v>
      </c>
      <c r="H32" s="39">
        <f>H27/INDEX('Income Statement'!$B$5:$K$5,MATCH(H$24,'Income Statement'!$B$4:$K$4,0))</f>
        <v>2.3562334217506633</v>
      </c>
      <c r="I32" s="39">
        <f>I27/INDEX('Income Statement'!$B$5:$K$5,MATCH(I$24,'Income Statement'!$B$4:$K$4,0))</f>
        <v>1.9190154440154441</v>
      </c>
      <c r="J32" s="39">
        <f>J27/INDEX('Income Statement'!$B$5:$K$5,MATCH(J$24,'Income Statement'!$B$4:$K$4,0))</f>
        <v>2.8581081081081088</v>
      </c>
      <c r="K32" s="39">
        <f>K27/INDEX('Income Statement'!$B$5:$K$5,MATCH(K$24,'Income Statement'!$B$4:$K$4,0))</f>
        <v>5.8723258989531191</v>
      </c>
    </row>
    <row r="33" spans="1:11" ht="15" customHeight="1" x14ac:dyDescent="0.2">
      <c r="A33" s="34" t="s">
        <v>92</v>
      </c>
      <c r="B33" s="39">
        <f>B25/'Key Ratio'!B18</f>
        <v>0.88120950323974079</v>
      </c>
      <c r="C33" s="39">
        <f>C25/'Key Ratio'!C18</f>
        <v>1.1386046511627905</v>
      </c>
      <c r="D33" s="39">
        <f>D25/'Key Ratio'!D18</f>
        <v>1.0344243792325059</v>
      </c>
      <c r="E33" s="39">
        <f>E25/'Key Ratio'!E18</f>
        <v>0.57121535181236671</v>
      </c>
      <c r="F33" s="39">
        <f>F25/'Key Ratio'!F18</f>
        <v>0.74314827828531282</v>
      </c>
      <c r="G33" s="39">
        <f>G25/'Key Ratio'!G18</f>
        <v>0.52401927047487962</v>
      </c>
      <c r="H33" s="39">
        <f>H25/'Key Ratio'!H18</f>
        <v>2.6219008264462813</v>
      </c>
      <c r="I33" s="39">
        <f>I25/'Key Ratio'!I18</f>
        <v>2.980659670164918</v>
      </c>
      <c r="J33" s="39">
        <f>J25/'Key Ratio'!J18</f>
        <v>4.9154584221748401</v>
      </c>
      <c r="K33" s="39">
        <f>K25/'Key Ratio'!K18</f>
        <v>7.2419309570586599</v>
      </c>
    </row>
    <row r="34" spans="1:11" ht="15" customHeight="1" x14ac:dyDescent="0.2">
      <c r="A34" s="34" t="s">
        <v>93</v>
      </c>
      <c r="B34" s="39">
        <f>B25/'Key Ratio'!B20</f>
        <v>1.2769761205465457</v>
      </c>
      <c r="C34" s="39">
        <f>C25/'Key Ratio'!C20</f>
        <v>1.5598190609889251</v>
      </c>
      <c r="D34" s="39">
        <f>D25/'Key Ratio'!D20</f>
        <v>1.348156137221554</v>
      </c>
      <c r="E34" s="39">
        <f>E25/'Key Ratio'!E20</f>
        <v>0.72466531904344178</v>
      </c>
      <c r="F34" s="39">
        <f>F25/'Key Ratio'!F20</f>
        <v>0.94240048250904718</v>
      </c>
      <c r="G34" s="39">
        <f>G25/'Key Ratio'!G20</f>
        <v>0.70028011204481788</v>
      </c>
      <c r="H34" s="39">
        <f>H25/'Key Ratio'!H20</f>
        <v>3.4438650004919809</v>
      </c>
      <c r="I34" s="39">
        <f>I25/'Key Ratio'!I20</f>
        <v>3.7190409622029383</v>
      </c>
      <c r="J34" s="39">
        <f>J25/'Key Ratio'!J20</f>
        <v>6.0796037660077635</v>
      </c>
      <c r="K34" s="39">
        <f>K25/'Key Ratio'!K20</f>
        <v>8.2436888480458403</v>
      </c>
    </row>
    <row r="36" spans="1:11" ht="27.75" customHeight="1" x14ac:dyDescent="0.2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</row>
  </sheetData>
  <mergeCells count="5">
    <mergeCell ref="A1:E1"/>
    <mergeCell ref="A2:E2"/>
    <mergeCell ref="A21:E21"/>
    <mergeCell ref="A23:K23"/>
    <mergeCell ref="A36:K3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baseColWidth="10" defaultColWidth="8.6640625" defaultRowHeight="15" x14ac:dyDescent="0.2"/>
  <cols>
    <col min="1" max="1" width="56" customWidth="1"/>
    <col min="2" max="6" width="13" customWidth="1"/>
  </cols>
  <sheetData>
    <row r="1" spans="1:6" ht="24" customHeight="1" x14ac:dyDescent="0.2">
      <c r="A1" s="102" t="s">
        <v>94</v>
      </c>
      <c r="B1" s="102"/>
      <c r="C1" s="102"/>
      <c r="D1" s="102"/>
      <c r="E1" s="102"/>
      <c r="F1" s="102"/>
    </row>
    <row r="2" spans="1:6" ht="18" customHeight="1" x14ac:dyDescent="0.2">
      <c r="A2" s="103"/>
      <c r="B2" s="103"/>
      <c r="C2" s="103"/>
      <c r="D2" s="103"/>
      <c r="E2" s="103"/>
      <c r="F2" s="103"/>
    </row>
    <row r="4" spans="1:6" ht="18" customHeight="1" x14ac:dyDescent="0.2">
      <c r="A4" s="3" t="s">
        <v>1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</row>
    <row r="5" spans="1:6" ht="15" customHeight="1" x14ac:dyDescent="0.2">
      <c r="A5" s="7" t="s">
        <v>100</v>
      </c>
      <c r="B5" s="40">
        <f>B68</f>
        <v>0.21182565928595065</v>
      </c>
      <c r="C5" s="41">
        <f>('Income Statement'!$K$5/'Income Statement'!$H$5)^(1/3)-1</f>
        <v>0.32591667579307804</v>
      </c>
      <c r="D5" s="41">
        <f>('Income Statement'!$K$5/'Income Statement'!$H$5)^(1/3)-1</f>
        <v>0.32591667579307804</v>
      </c>
      <c r="E5" s="41">
        <f>('Income Statement'!$K$5/'Income Statement'!$H$5)^(1/3)-1</f>
        <v>0.32591667579307804</v>
      </c>
      <c r="F5" s="41">
        <f>('Income Statement'!$K$5/'Income Statement'!$H$5)^(1/3)-1</f>
        <v>0.32591667579307804</v>
      </c>
    </row>
    <row r="6" spans="1:6" ht="15" customHeight="1" x14ac:dyDescent="0.2">
      <c r="A6" s="7" t="s">
        <v>101</v>
      </c>
      <c r="B6" s="41">
        <f>AVERAGE('Income Statement'!$I$7/'Income Statement'!$I$5,'Income Statement'!$J$7/'Income Statement'!$J$5,'Income Statement'!$K$7/'Income Statement'!$K$5)</f>
        <v>0.28876101407451499</v>
      </c>
      <c r="C6" s="41">
        <f>AVERAGE('Income Statement'!$I$7/'Income Statement'!$I$5,'Income Statement'!$J$7/'Income Statement'!$J$5,'Income Statement'!$K$7/'Income Statement'!$K$5)</f>
        <v>0.28876101407451499</v>
      </c>
      <c r="D6" s="41">
        <f>AVERAGE('Income Statement'!$I$7/'Income Statement'!$I$5,'Income Statement'!$J$7/'Income Statement'!$J$5,'Income Statement'!$K$7/'Income Statement'!$K$5)</f>
        <v>0.28876101407451499</v>
      </c>
      <c r="E6" s="41">
        <f>AVERAGE('Income Statement'!$I$7/'Income Statement'!$I$5,'Income Statement'!$J$7/'Income Statement'!$J$5,'Income Statement'!$K$7/'Income Statement'!$K$5)</f>
        <v>0.28876101407451499</v>
      </c>
      <c r="F6" s="41">
        <f>AVERAGE('Income Statement'!$I$7/'Income Statement'!$I$5,'Income Statement'!$J$7/'Income Statement'!$J$5,'Income Statement'!$K$7/'Income Statement'!$K$5)</f>
        <v>0.28876101407451499</v>
      </c>
    </row>
    <row r="7" spans="1:6" ht="15" customHeight="1" x14ac:dyDescent="0.2">
      <c r="A7" s="7" t="s">
        <v>102</v>
      </c>
      <c r="B7" s="41">
        <f>AVERAGE(ABS('Income Statement'!$I$8)/'Income Statement'!$I$5,ABS('Income Statement'!$J$8)/'Income Statement'!$J$5,ABS('Income Statement'!$K$8)/'Income Statement'!$K$5)</f>
        <v>8.6948535227673165E-2</v>
      </c>
      <c r="C7" s="41">
        <f>AVERAGE(ABS('Income Statement'!$I$8)/'Income Statement'!$I$5,ABS('Income Statement'!$J$8)/'Income Statement'!$J$5,ABS('Income Statement'!$K$8)/'Income Statement'!$K$5)</f>
        <v>8.6948535227673165E-2</v>
      </c>
      <c r="D7" s="41">
        <f>AVERAGE(ABS('Income Statement'!$I$8)/'Income Statement'!$I$5,ABS('Income Statement'!$J$8)/'Income Statement'!$J$5,ABS('Income Statement'!$K$8)/'Income Statement'!$K$5)</f>
        <v>8.6948535227673165E-2</v>
      </c>
      <c r="E7" s="41">
        <f>AVERAGE(ABS('Income Statement'!$I$8)/'Income Statement'!$I$5,ABS('Income Statement'!$J$8)/'Income Statement'!$J$5,ABS('Income Statement'!$K$8)/'Income Statement'!$K$5)</f>
        <v>8.6948535227673165E-2</v>
      </c>
      <c r="F7" s="41">
        <f>AVERAGE(ABS('Income Statement'!$I$8)/'Income Statement'!$I$5,ABS('Income Statement'!$J$8)/'Income Statement'!$J$5,ABS('Income Statement'!$K$8)/'Income Statement'!$K$5)</f>
        <v>8.6948535227673165E-2</v>
      </c>
    </row>
    <row r="8" spans="1:6" ht="15" customHeight="1" x14ac:dyDescent="0.2">
      <c r="A8" s="7" t="s">
        <v>103</v>
      </c>
      <c r="B8" s="41">
        <f>B5</f>
        <v>0.21182565928595065</v>
      </c>
      <c r="C8" s="41">
        <f>C5</f>
        <v>0.32591667579307804</v>
      </c>
      <c r="D8" s="41">
        <f>D5</f>
        <v>0.32591667579307804</v>
      </c>
      <c r="E8" s="41">
        <f>E5</f>
        <v>0.32591667579307804</v>
      </c>
      <c r="F8" s="41">
        <f>F5</f>
        <v>0.32591667579307804</v>
      </c>
    </row>
    <row r="9" spans="1:6" ht="15" customHeight="1" x14ac:dyDescent="0.2">
      <c r="A9" s="7" t="s">
        <v>104</v>
      </c>
      <c r="B9" s="41">
        <f>AVERAGE(ABS('Income Statement'!$I$14)/'Key Ratio'!$I$25,ABS('Income Statement'!$J$14)/'Key Ratio'!$J$25,ABS('Income Statement'!$K$14)/'Key Ratio'!$K$25)</f>
        <v>7.3756822639992545E-2</v>
      </c>
      <c r="C9" s="41">
        <f>AVERAGE(ABS('Income Statement'!$I$14)/'Key Ratio'!$I$25,ABS('Income Statement'!$J$14)/'Key Ratio'!$J$25,ABS('Income Statement'!$K$14)/'Key Ratio'!$K$25)</f>
        <v>7.3756822639992545E-2</v>
      </c>
      <c r="D9" s="41">
        <f>AVERAGE(ABS('Income Statement'!$I$14)/'Key Ratio'!$I$25,ABS('Income Statement'!$J$14)/'Key Ratio'!$J$25,ABS('Income Statement'!$K$14)/'Key Ratio'!$K$25)</f>
        <v>7.3756822639992545E-2</v>
      </c>
      <c r="E9" s="41">
        <f>AVERAGE(ABS('Income Statement'!$I$14)/'Key Ratio'!$I$25,ABS('Income Statement'!$J$14)/'Key Ratio'!$J$25,ABS('Income Statement'!$K$14)/'Key Ratio'!$K$25)</f>
        <v>7.3756822639992545E-2</v>
      </c>
      <c r="F9" s="41">
        <f>AVERAGE(ABS('Income Statement'!$I$14)/'Key Ratio'!$I$25,ABS('Income Statement'!$J$14)/'Key Ratio'!$J$25,ABS('Income Statement'!$K$14)/'Key Ratio'!$K$25)</f>
        <v>7.3756822639992545E-2</v>
      </c>
    </row>
    <row r="10" spans="1:6" ht="15" customHeight="1" x14ac:dyDescent="0.2">
      <c r="A10" s="7" t="s">
        <v>105</v>
      </c>
      <c r="B10" s="41">
        <f>AVERAGE(ABS('Income Statement'!$I$21)/'Income Statement'!$I$20,ABS('Income Statement'!$J$21)/'Income Statement'!$J$20,ABS('Income Statement'!$K$21)/'Income Statement'!$K$20)</f>
        <v>0.3224907756983631</v>
      </c>
      <c r="C10" s="41">
        <f>AVERAGE(ABS('Income Statement'!$I$21)/'Income Statement'!$I$20,ABS('Income Statement'!$J$21)/'Income Statement'!$J$20,ABS('Income Statement'!$K$21)/'Income Statement'!$K$20)</f>
        <v>0.3224907756983631</v>
      </c>
      <c r="D10" s="41">
        <f>AVERAGE(ABS('Income Statement'!$I$21)/'Income Statement'!$I$20,ABS('Income Statement'!$J$21)/'Income Statement'!$J$20,ABS('Income Statement'!$K$21)/'Income Statement'!$K$20)</f>
        <v>0.3224907756983631</v>
      </c>
      <c r="E10" s="41">
        <f>AVERAGE(ABS('Income Statement'!$I$21)/'Income Statement'!$I$20,ABS('Income Statement'!$J$21)/'Income Statement'!$J$20,ABS('Income Statement'!$K$21)/'Income Statement'!$K$20)</f>
        <v>0.3224907756983631</v>
      </c>
      <c r="F10" s="41">
        <f>AVERAGE(ABS('Income Statement'!$I$21)/'Income Statement'!$I$20,ABS('Income Statement'!$J$21)/'Income Statement'!$J$20,ABS('Income Statement'!$K$21)/'Income Statement'!$K$20)</f>
        <v>0.3224907756983631</v>
      </c>
    </row>
    <row r="11" spans="1:6" ht="15" customHeight="1" x14ac:dyDescent="0.2">
      <c r="A11" s="7" t="s">
        <v>106</v>
      </c>
      <c r="B11" s="41">
        <f>AVERAGE('Income Statement'!$I$30/'Income Statement'!$I$25,'Income Statement'!$J$30/'Income Statement'!$J$25,'Income Statement'!$K$30/'Income Statement'!$K$25)</f>
        <v>0.86704410060876491</v>
      </c>
      <c r="C11" s="41">
        <f>AVERAGE('Income Statement'!$I$30/'Income Statement'!$I$25,'Income Statement'!$J$30/'Income Statement'!$J$25,'Income Statement'!$K$30/'Income Statement'!$K$25)</f>
        <v>0.86704410060876491</v>
      </c>
      <c r="D11" s="41">
        <f>AVERAGE('Income Statement'!$I$30/'Income Statement'!$I$25,'Income Statement'!$J$30/'Income Statement'!$J$25,'Income Statement'!$K$30/'Income Statement'!$K$25)</f>
        <v>0.86704410060876491</v>
      </c>
      <c r="E11" s="41">
        <f>AVERAGE('Income Statement'!$I$30/'Income Statement'!$I$25,'Income Statement'!$J$30/'Income Statement'!$J$25,'Income Statement'!$K$30/'Income Statement'!$K$25)</f>
        <v>0.86704410060876491</v>
      </c>
      <c r="F11" s="41">
        <f>AVERAGE('Income Statement'!$I$30/'Income Statement'!$I$25,'Income Statement'!$J$30/'Income Statement'!$J$25,'Income Statement'!$K$30/'Income Statement'!$K$25)</f>
        <v>0.86704410060876491</v>
      </c>
    </row>
    <row r="12" spans="1:6" ht="15" customHeight="1" x14ac:dyDescent="0.2">
      <c r="A12" s="7" t="s">
        <v>107</v>
      </c>
      <c r="B12" s="41">
        <f>AVERAGE(ABS('Cash Flow'!$B$49)/'Income Statement'!$J$30,ABS('Cash Flow'!$C$49)/'Income Statement'!$I$30)</f>
        <v>0.51703766852956967</v>
      </c>
      <c r="C12" s="41">
        <f>AVERAGE(ABS('Cash Flow'!$B$49)/'Income Statement'!$J$30,ABS('Cash Flow'!$C$49)/'Income Statement'!$I$30)</f>
        <v>0.51703766852956967</v>
      </c>
      <c r="D12" s="41">
        <f>AVERAGE(ABS('Cash Flow'!$B$49)/'Income Statement'!$J$30,ABS('Cash Flow'!$C$49)/'Income Statement'!$I$30)</f>
        <v>0.51703766852956967</v>
      </c>
      <c r="E12" s="41">
        <f>AVERAGE(ABS('Cash Flow'!$B$49)/'Income Statement'!$J$30,ABS('Cash Flow'!$C$49)/'Income Statement'!$I$30)</f>
        <v>0.51703766852956967</v>
      </c>
      <c r="F12" s="41">
        <f>AVERAGE(ABS('Cash Flow'!$B$49)/'Income Statement'!$J$30,ABS('Cash Flow'!$C$49)/'Income Statement'!$I$30)</f>
        <v>0.51703766852956967</v>
      </c>
    </row>
    <row r="13" spans="1:6" ht="15" customHeight="1" x14ac:dyDescent="0.2">
      <c r="A13" s="7" t="s">
        <v>108</v>
      </c>
      <c r="B13" s="41">
        <f>AVERAGE(ABS('Cash Flow'!$B$21)/'Income Statement'!$K$5,ABS('Cash Flow'!$C$21)/'Income Statement'!$J$5,ABS('Cash Flow'!$D$21)/'Income Statement'!$I$5)</f>
        <v>0.12777185878537597</v>
      </c>
      <c r="C13" s="41">
        <f>AVERAGE(ABS('Cash Flow'!$B$21)/'Income Statement'!$K$5,ABS('Cash Flow'!$C$21)/'Income Statement'!$J$5,ABS('Cash Flow'!$D$21)/'Income Statement'!$I$5)</f>
        <v>0.12777185878537597</v>
      </c>
      <c r="D13" s="41">
        <f>AVERAGE(ABS('Cash Flow'!$B$21)/'Income Statement'!$K$5,ABS('Cash Flow'!$C$21)/'Income Statement'!$J$5,ABS('Cash Flow'!$D$21)/'Income Statement'!$I$5)</f>
        <v>0.12777185878537597</v>
      </c>
      <c r="E13" s="41">
        <f>AVERAGE(ABS('Cash Flow'!$B$21)/'Income Statement'!$K$5,ABS('Cash Flow'!$C$21)/'Income Statement'!$J$5,ABS('Cash Flow'!$D$21)/'Income Statement'!$I$5)</f>
        <v>0.12777185878537597</v>
      </c>
      <c r="F13" s="41">
        <f>AVERAGE(ABS('Cash Flow'!$B$21)/'Income Statement'!$K$5,ABS('Cash Flow'!$C$21)/'Income Statement'!$J$5,ABS('Cash Flow'!$D$21)/'Income Statement'!$I$5)</f>
        <v>0.12777185878537597</v>
      </c>
    </row>
    <row r="14" spans="1:6" ht="15" customHeight="1" x14ac:dyDescent="0.2">
      <c r="A14" s="7" t="s">
        <v>109</v>
      </c>
      <c r="B14" s="41">
        <f>AVERAGE('Key Ratio'!$I$53/'Income Statement'!$I$5,'Key Ratio'!$J$53/'Income Statement'!$J$5,'Key Ratio'!$K$53/'Income Statement'!$K$5)</f>
        <v>0.20316143289923216</v>
      </c>
      <c r="C14" s="41">
        <f>AVERAGE('Key Ratio'!$I$53/'Income Statement'!$I$5,'Key Ratio'!$J$53/'Income Statement'!$J$5,'Key Ratio'!$K$53/'Income Statement'!$K$5)</f>
        <v>0.20316143289923216</v>
      </c>
      <c r="D14" s="41">
        <f>AVERAGE('Key Ratio'!$I$53/'Income Statement'!$I$5,'Key Ratio'!$J$53/'Income Statement'!$J$5,'Key Ratio'!$K$53/'Income Statement'!$K$5)</f>
        <v>0.20316143289923216</v>
      </c>
      <c r="E14" s="41">
        <f>AVERAGE('Key Ratio'!$I$53/'Income Statement'!$I$5,'Key Ratio'!$J$53/'Income Statement'!$J$5,'Key Ratio'!$K$53/'Income Statement'!$K$5)</f>
        <v>0.20316143289923216</v>
      </c>
      <c r="F14" s="41">
        <f>AVERAGE('Key Ratio'!$I$53/'Income Statement'!$I$5,'Key Ratio'!$J$53/'Income Statement'!$J$5,'Key Ratio'!$K$53/'Income Statement'!$K$5)</f>
        <v>0.20316143289923216</v>
      </c>
    </row>
    <row r="15" spans="1:6" ht="15" customHeight="1" x14ac:dyDescent="0.2">
      <c r="A15" s="7" t="s">
        <v>110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</row>
    <row r="16" spans="1:6" ht="15" customHeight="1" x14ac:dyDescent="0.2">
      <c r="A16" s="7" t="s">
        <v>111</v>
      </c>
      <c r="B16" s="20">
        <f>AVERAGE('Key Ratio'!$I$48,'Key Ratio'!$J$48,'Key Ratio'!$K$48)</f>
        <v>0.7042167805702596</v>
      </c>
      <c r="C16" s="20">
        <f>AVERAGE('Key Ratio'!$I$48,'Key Ratio'!$J$48,'Key Ratio'!$K$48)</f>
        <v>0.7042167805702596</v>
      </c>
      <c r="D16" s="20">
        <f>AVERAGE('Key Ratio'!$I$48,'Key Ratio'!$J$48,'Key Ratio'!$K$48)</f>
        <v>0.7042167805702596</v>
      </c>
      <c r="E16" s="20">
        <f>AVERAGE('Key Ratio'!$I$48,'Key Ratio'!$J$48,'Key Ratio'!$K$48)</f>
        <v>0.7042167805702596</v>
      </c>
      <c r="F16" s="20">
        <f>AVERAGE('Key Ratio'!$I$48,'Key Ratio'!$J$48,'Key Ratio'!$K$48)</f>
        <v>0.7042167805702596</v>
      </c>
    </row>
    <row r="17" spans="1:6" ht="15" customHeight="1" x14ac:dyDescent="0.2">
      <c r="A17" s="7" t="s">
        <v>112</v>
      </c>
      <c r="B17" s="41">
        <f>'Balance Sheet'!$K$75/'Balance Sheet'!$K$77</f>
        <v>0.16732881514372516</v>
      </c>
      <c r="C17" s="41">
        <f>'Balance Sheet'!$K$75/'Balance Sheet'!$K$77</f>
        <v>0.16732881514372516</v>
      </c>
      <c r="D17" s="41">
        <f>'Balance Sheet'!$K$75/'Balance Sheet'!$K$77</f>
        <v>0.16732881514372516</v>
      </c>
      <c r="E17" s="41">
        <f>'Balance Sheet'!$K$75/'Balance Sheet'!$K$77</f>
        <v>0.16732881514372516</v>
      </c>
      <c r="F17" s="41">
        <f>'Balance Sheet'!$K$75/'Balance Sheet'!$K$77</f>
        <v>0.16732881514372516</v>
      </c>
    </row>
    <row r="18" spans="1:6" ht="15" customHeight="1" x14ac:dyDescent="0.2">
      <c r="A18" s="7" t="s">
        <v>113</v>
      </c>
      <c r="B18" s="15">
        <f>'Income Statement'!$K$42</f>
        <v>4.2300000000000004</v>
      </c>
      <c r="C18" s="15">
        <f>'Income Statement'!$K$42</f>
        <v>4.2300000000000004</v>
      </c>
      <c r="D18" s="15">
        <f>'Income Statement'!$K$42</f>
        <v>4.2300000000000004</v>
      </c>
      <c r="E18" s="15">
        <f>'Income Statement'!$K$42</f>
        <v>4.2300000000000004</v>
      </c>
      <c r="F18" s="15">
        <f>'Income Statement'!$K$42</f>
        <v>4.2300000000000004</v>
      </c>
    </row>
    <row r="20" spans="1:6" ht="19.5" customHeight="1" x14ac:dyDescent="0.2">
      <c r="A20" s="2" t="s">
        <v>114</v>
      </c>
      <c r="B20" s="6"/>
      <c r="C20" s="6"/>
      <c r="D20" s="6"/>
      <c r="E20" s="6"/>
      <c r="F20" s="6"/>
    </row>
    <row r="21" spans="1:6" ht="15" customHeight="1" x14ac:dyDescent="0.2">
      <c r="A21" s="7" t="s">
        <v>115</v>
      </c>
      <c r="B21" s="16">
        <f>'Income Statement'!$K$5*(1+B5)</f>
        <v>5324.7619469024676</v>
      </c>
      <c r="C21" s="16">
        <f>B21*(1+C5)</f>
        <v>7060.1906600263983</v>
      </c>
      <c r="D21" s="16">
        <f>C21*(1+D5)</f>
        <v>9361.2245304075404</v>
      </c>
      <c r="E21" s="16">
        <f>D21*(1+E5)</f>
        <v>12412.203710710584</v>
      </c>
      <c r="F21" s="16">
        <f>E21*(1+F5)</f>
        <v>16457.547883371884</v>
      </c>
    </row>
    <row r="22" spans="1:6" ht="15" customHeight="1" x14ac:dyDescent="0.2">
      <c r="A22" s="7" t="s">
        <v>116</v>
      </c>
      <c r="B22" s="16">
        <f>B21*B6</f>
        <v>1537.5836594929453</v>
      </c>
      <c r="C22" s="16">
        <f>C21*C6</f>
        <v>2038.7078145486421</v>
      </c>
      <c r="D22" s="16">
        <f>D21*D6</f>
        <v>2703.1566883797068</v>
      </c>
      <c r="E22" s="16">
        <f>E21*E6</f>
        <v>3584.1605304042464</v>
      </c>
      <c r="F22" s="16">
        <f>F21*F6</f>
        <v>4752.2982159823532</v>
      </c>
    </row>
    <row r="23" spans="1:6" ht="15" customHeight="1" x14ac:dyDescent="0.2">
      <c r="A23" s="7" t="s">
        <v>117</v>
      </c>
      <c r="B23" s="16">
        <f>-B21*B7</f>
        <v>-462.98025171922274</v>
      </c>
      <c r="C23" s="16">
        <f>-C21*C7</f>
        <v>-613.87323631739434</v>
      </c>
      <c r="D23" s="16">
        <f>-D21*D7</f>
        <v>-813.94476085629822</v>
      </c>
      <c r="E23" s="16">
        <f>-E21*E7</f>
        <v>-1079.2229315937748</v>
      </c>
      <c r="F23" s="16">
        <f>-F21*F7</f>
        <v>-1430.9596818984783</v>
      </c>
    </row>
    <row r="24" spans="1:6" ht="15" customHeight="1" x14ac:dyDescent="0.2">
      <c r="A24" s="17" t="s">
        <v>118</v>
      </c>
      <c r="B24" s="18">
        <f>B22+B23</f>
        <v>1074.6034077737227</v>
      </c>
      <c r="C24" s="18">
        <f>C22+C23</f>
        <v>1424.8345782312476</v>
      </c>
      <c r="D24" s="18">
        <f>D22+D23</f>
        <v>1889.2119275234086</v>
      </c>
      <c r="E24" s="18">
        <f>E22+E23</f>
        <v>2504.9375988104716</v>
      </c>
      <c r="F24" s="18">
        <f>F22+F23</f>
        <v>3321.3385340838749</v>
      </c>
    </row>
    <row r="25" spans="1:6" ht="15" customHeight="1" x14ac:dyDescent="0.2">
      <c r="A25" s="7" t="s">
        <v>119</v>
      </c>
      <c r="B25" s="16">
        <f>'Income Statement'!$K$15*(1+B8)</f>
        <v>393.84333926793397</v>
      </c>
      <c r="C25" s="16">
        <f>B25*(1+C8)</f>
        <v>522.20345118538444</v>
      </c>
      <c r="D25" s="16">
        <f>C25*(1+D8)</f>
        <v>692.39826408339786</v>
      </c>
      <c r="E25" s="16">
        <f>D25*(1+E8)</f>
        <v>918.06240463835672</v>
      </c>
      <c r="F25" s="16">
        <f>E25*(1+F8)</f>
        <v>1217.2742517286897</v>
      </c>
    </row>
    <row r="26" spans="1:6" ht="15" customHeight="1" x14ac:dyDescent="0.2">
      <c r="A26" s="7" t="s">
        <v>120</v>
      </c>
      <c r="B26" s="16">
        <f>-AVERAGE('Key Ratio'!$K$25,B35)*B9</f>
        <v>-187.858627264061</v>
      </c>
      <c r="C26" s="16">
        <f>-AVERAGE(B35,C35)*C9</f>
        <v>-187.858627264061</v>
      </c>
      <c r="D26" s="16">
        <f>-AVERAGE(C35,D35)*D9</f>
        <v>-187.858627264061</v>
      </c>
      <c r="E26" s="16">
        <f>-AVERAGE(D35,E35)*E9</f>
        <v>-187.858627264061</v>
      </c>
      <c r="F26" s="16">
        <f>-AVERAGE(E35,F35)*F9</f>
        <v>-187.858627264061</v>
      </c>
    </row>
    <row r="27" spans="1:6" ht="15" customHeight="1" x14ac:dyDescent="0.2">
      <c r="A27" s="17" t="s">
        <v>121</v>
      </c>
      <c r="B27" s="18">
        <f>B24+B25+B26</f>
        <v>1280.5881197775957</v>
      </c>
      <c r="C27" s="18">
        <f>C24+C25+C26</f>
        <v>1759.1794021525711</v>
      </c>
      <c r="D27" s="18">
        <f>D24+D25+D26</f>
        <v>2393.7515643427455</v>
      </c>
      <c r="E27" s="18">
        <f>E24+E25+E26</f>
        <v>3235.1413761847675</v>
      </c>
      <c r="F27" s="18">
        <f>F24+F25+F26</f>
        <v>4350.7541585485033</v>
      </c>
    </row>
    <row r="28" spans="1:6" ht="15" customHeight="1" x14ac:dyDescent="0.2">
      <c r="A28" s="7" t="s">
        <v>122</v>
      </c>
      <c r="B28" s="16">
        <f>-B27*B10</f>
        <v>-412.97785609718517</v>
      </c>
      <c r="C28" s="16">
        <f>-C27*C10</f>
        <v>-567.31912999276528</v>
      </c>
      <c r="D28" s="16">
        <f>-D27*D10</f>
        <v>-771.96279881406213</v>
      </c>
      <c r="E28" s="16">
        <f>-E27*E10</f>
        <v>-1043.3032518996956</v>
      </c>
      <c r="F28" s="16">
        <f>-F27*F10</f>
        <v>-1403.0780834631857</v>
      </c>
    </row>
    <row r="29" spans="1:6" ht="15" customHeight="1" x14ac:dyDescent="0.2">
      <c r="A29" s="17" t="s">
        <v>123</v>
      </c>
      <c r="B29" s="18">
        <f>B27+B28</f>
        <v>867.61026368041053</v>
      </c>
      <c r="C29" s="18">
        <f>C27+C28</f>
        <v>1191.8602721598058</v>
      </c>
      <c r="D29" s="18">
        <f>D27+D28</f>
        <v>1621.7887655286834</v>
      </c>
      <c r="E29" s="18">
        <f>E27+E28</f>
        <v>2191.8381242850719</v>
      </c>
      <c r="F29" s="18">
        <f>F27+F28</f>
        <v>2947.6760750853173</v>
      </c>
    </row>
    <row r="30" spans="1:6" ht="15" customHeight="1" x14ac:dyDescent="0.2">
      <c r="A30" s="17" t="s">
        <v>124</v>
      </c>
      <c r="B30" s="18">
        <f>B29*B11</f>
        <v>752.25636075171496</v>
      </c>
      <c r="C30" s="18">
        <f>C29*C11</f>
        <v>1033.3954177261166</v>
      </c>
      <c r="D30" s="18">
        <f>D29*D11</f>
        <v>1406.1623815852163</v>
      </c>
      <c r="E30" s="18">
        <f>E29*E11</f>
        <v>1900.4203151507525</v>
      </c>
      <c r="F30" s="18">
        <f>F29*F11</f>
        <v>2555.7651514083232</v>
      </c>
    </row>
    <row r="31" spans="1:6" ht="15" customHeight="1" x14ac:dyDescent="0.2">
      <c r="A31" s="7" t="s">
        <v>125</v>
      </c>
      <c r="B31" s="42">
        <f>B30/B18</f>
        <v>177.83838315643379</v>
      </c>
      <c r="C31" s="42">
        <f>C30/C18</f>
        <v>244.30151719293536</v>
      </c>
      <c r="D31" s="42">
        <f>D30/D18</f>
        <v>332.42609493740332</v>
      </c>
      <c r="E31" s="42">
        <f>E30/E18</f>
        <v>449.2719421160171</v>
      </c>
      <c r="F31" s="42">
        <f>F30/F18</f>
        <v>604.19979938731035</v>
      </c>
    </row>
    <row r="33" spans="1:6" ht="19.5" customHeight="1" x14ac:dyDescent="0.2">
      <c r="A33" s="2" t="s">
        <v>126</v>
      </c>
      <c r="B33" s="6"/>
      <c r="C33" s="6"/>
      <c r="D33" s="6"/>
      <c r="E33" s="6"/>
      <c r="F33" s="6"/>
    </row>
    <row r="34" spans="1:6" ht="15" customHeight="1" x14ac:dyDescent="0.2">
      <c r="A34" s="7" t="s">
        <v>127</v>
      </c>
      <c r="B34" s="16">
        <f>B21/B16</f>
        <v>7561.253997086792</v>
      </c>
      <c r="C34" s="16">
        <f>C21/C16</f>
        <v>10025.592764644443</v>
      </c>
      <c r="D34" s="16">
        <f>D21/D16</f>
        <v>13293.100631352496</v>
      </c>
      <c r="E34" s="16">
        <f>E21/E16</f>
        <v>17625.54380010577</v>
      </c>
      <c r="F34" s="16">
        <f>F21/F16</f>
        <v>23370.002444481535</v>
      </c>
    </row>
    <row r="35" spans="1:6" ht="15" customHeight="1" x14ac:dyDescent="0.2">
      <c r="A35" s="7" t="s">
        <v>128</v>
      </c>
      <c r="B35" s="16">
        <f>'Key Ratio'!$K$25*(1+B15)</f>
        <v>2547</v>
      </c>
      <c r="C35" s="16">
        <f>B35*(1+C15)</f>
        <v>2547</v>
      </c>
      <c r="D35" s="16">
        <f>C35*(1+D15)</f>
        <v>2547</v>
      </c>
      <c r="E35" s="16">
        <f>D35*(1+E15)</f>
        <v>2547</v>
      </c>
      <c r="F35" s="16">
        <f>E35*(1+F15)</f>
        <v>2547</v>
      </c>
    </row>
    <row r="36" spans="1:6" ht="15" customHeight="1" x14ac:dyDescent="0.2">
      <c r="A36" s="7" t="s">
        <v>129</v>
      </c>
      <c r="B36" s="16">
        <f>'Income Statement'!$K$30*B12</f>
        <v>232.1499131697768</v>
      </c>
      <c r="C36" s="16">
        <f>B30*C12</f>
        <v>388.94487489960557</v>
      </c>
      <c r="D36" s="16">
        <f>C30*D12</f>
        <v>534.30435745025204</v>
      </c>
      <c r="E36" s="16">
        <f>D30*E12</f>
        <v>727.03891934880733</v>
      </c>
      <c r="F36" s="16">
        <f>E30*F12</f>
        <v>982.58888897177508</v>
      </c>
    </row>
    <row r="37" spans="1:6" ht="15" customHeight="1" x14ac:dyDescent="0.2">
      <c r="A37" s="17" t="s">
        <v>130</v>
      </c>
      <c r="B37" s="18">
        <f>('Balance Sheet'!$K$77-'Balance Sheet'!$K$75)+B30-B36</f>
        <v>4083.106447581938</v>
      </c>
      <c r="C37" s="18">
        <f>B37+C30-C36</f>
        <v>4727.5569904084496</v>
      </c>
      <c r="D37" s="18">
        <f>C37+D30-D36</f>
        <v>5599.4150145434141</v>
      </c>
      <c r="E37" s="18">
        <f>D37+E30-E36</f>
        <v>6772.7964103453596</v>
      </c>
      <c r="F37" s="18">
        <f>E37+F30-F36</f>
        <v>8345.972672781907</v>
      </c>
    </row>
    <row r="38" spans="1:6" ht="15" customHeight="1" x14ac:dyDescent="0.2">
      <c r="A38" s="7" t="s">
        <v>131</v>
      </c>
      <c r="B38" s="16">
        <f>B37/(1-B17)</f>
        <v>4903.6240497342442</v>
      </c>
      <c r="C38" s="16">
        <f>C37/(1-C17)</f>
        <v>5677.5796693678794</v>
      </c>
      <c r="D38" s="16">
        <f>D37/(1-D17)</f>
        <v>6724.641270623426</v>
      </c>
      <c r="E38" s="16">
        <f>E37/(1-E17)</f>
        <v>8133.8186471703038</v>
      </c>
      <c r="F38" s="16">
        <f>F37/(1-F17)</f>
        <v>10023.131368743692</v>
      </c>
    </row>
    <row r="39" spans="1:6" ht="15" customHeight="1" x14ac:dyDescent="0.2">
      <c r="A39" s="7" t="s">
        <v>132</v>
      </c>
      <c r="B39" s="16">
        <f>B34-B38</f>
        <v>2657.6299473525478</v>
      </c>
      <c r="C39" s="16">
        <f>C34-C38</f>
        <v>4348.0130952765639</v>
      </c>
      <c r="D39" s="16">
        <f>D34-D38</f>
        <v>6568.4593607290699</v>
      </c>
      <c r="E39" s="16">
        <f>E34-E38</f>
        <v>9491.7251529354653</v>
      </c>
      <c r="F39" s="16">
        <f>F34-F38</f>
        <v>13346.871075737843</v>
      </c>
    </row>
    <row r="41" spans="1:6" ht="19.5" customHeight="1" x14ac:dyDescent="0.2">
      <c r="A41" s="2" t="s">
        <v>133</v>
      </c>
      <c r="B41" s="6"/>
      <c r="C41" s="6"/>
      <c r="D41" s="6"/>
      <c r="E41" s="6"/>
      <c r="F41" s="6"/>
    </row>
    <row r="42" spans="1:6" ht="15" customHeight="1" x14ac:dyDescent="0.2">
      <c r="A42" s="7" t="s">
        <v>134</v>
      </c>
      <c r="B42" s="16">
        <f>B21*B14</f>
        <v>1081.7862669800104</v>
      </c>
      <c r="C42" s="16">
        <f>C21*C14</f>
        <v>1434.3584510327387</v>
      </c>
      <c r="D42" s="16">
        <f>D21*D14</f>
        <v>1901.8397892890378</v>
      </c>
      <c r="E42" s="16">
        <f>E21*E14</f>
        <v>2521.681091305129</v>
      </c>
      <c r="F42" s="16">
        <f>F21*F14</f>
        <v>3343.5390099935576</v>
      </c>
    </row>
    <row r="43" spans="1:6" ht="15" customHeight="1" x14ac:dyDescent="0.2">
      <c r="A43" s="7" t="s">
        <v>135</v>
      </c>
      <c r="B43" s="16">
        <f>-B21*B13</f>
        <v>-680.35473154536578</v>
      </c>
      <c r="C43" s="16">
        <f>-C21*C13</f>
        <v>-902.09368401072334</v>
      </c>
      <c r="D43" s="16">
        <f>-D21*D13</f>
        <v>-1196.1010587574299</v>
      </c>
      <c r="E43" s="16">
        <f>-E21*E13</f>
        <v>-1585.9303397402325</v>
      </c>
      <c r="F43" s="16">
        <f>-F21*F13</f>
        <v>-2102.8114841077559</v>
      </c>
    </row>
    <row r="44" spans="1:6" ht="15" customHeight="1" x14ac:dyDescent="0.2">
      <c r="A44" s="17" t="s">
        <v>136</v>
      </c>
      <c r="B44" s="18">
        <f>B42+B43</f>
        <v>401.43153543464462</v>
      </c>
      <c r="C44" s="18">
        <f>C42+C43</f>
        <v>532.26476702201535</v>
      </c>
      <c r="D44" s="18">
        <f>D42+D43</f>
        <v>705.73873053160787</v>
      </c>
      <c r="E44" s="18">
        <f>E42+E43</f>
        <v>935.75075156489652</v>
      </c>
      <c r="F44" s="18">
        <f>F42+F43</f>
        <v>1240.7275258858017</v>
      </c>
    </row>
    <row r="45" spans="1:6" ht="15" customHeight="1" x14ac:dyDescent="0.2">
      <c r="A45" s="17" t="s">
        <v>60</v>
      </c>
      <c r="B45" s="18">
        <f>B44/B18</f>
        <v>94.901072206771772</v>
      </c>
      <c r="C45" s="18">
        <f>C44/C18</f>
        <v>125.83091418960173</v>
      </c>
      <c r="D45" s="18">
        <f>D44/D18</f>
        <v>166.84130745428081</v>
      </c>
      <c r="E45" s="18">
        <f>E44/E18</f>
        <v>221.21767176475092</v>
      </c>
      <c r="F45" s="18">
        <f>F44/F18</f>
        <v>293.31619997300271</v>
      </c>
    </row>
    <row r="46" spans="1:6" ht="15" customHeight="1" x14ac:dyDescent="0.2">
      <c r="A46" s="7" t="s">
        <v>137</v>
      </c>
      <c r="B46" s="16">
        <f>'Balance Sheet'!$K$10+B42+B43+(B35-'Key Ratio'!$K$25)-B36</f>
        <v>1688.2816222648682</v>
      </c>
      <c r="C46" s="16">
        <f>B46+C42+C43+(C35-B35)-C36</f>
        <v>1831.6015143872783</v>
      </c>
      <c r="D46" s="16">
        <f>C46+D42+D43+(D35-C35)-D36</f>
        <v>2003.035887468634</v>
      </c>
      <c r="E46" s="16">
        <f>D46+E42+E43+(E35-D35)-E36</f>
        <v>2211.7477196847231</v>
      </c>
      <c r="F46" s="16">
        <f>E46+F42+F43+(F35-E35)-F36</f>
        <v>2469.8863565987494</v>
      </c>
    </row>
    <row r="47" spans="1:6" ht="15" customHeight="1" x14ac:dyDescent="0.2">
      <c r="A47" s="7" t="s">
        <v>138</v>
      </c>
      <c r="B47" s="16">
        <f>B35-B46</f>
        <v>858.71837773513175</v>
      </c>
      <c r="C47" s="16">
        <f>C35-C46</f>
        <v>715.39848561272174</v>
      </c>
      <c r="D47" s="16">
        <f>D35-D46</f>
        <v>543.96411253136603</v>
      </c>
      <c r="E47" s="16">
        <f>E35-E46</f>
        <v>335.25228031527695</v>
      </c>
      <c r="F47" s="16">
        <f>F35-F46</f>
        <v>77.113643401250556</v>
      </c>
    </row>
    <row r="49" spans="1:6" ht="19.5" customHeight="1" x14ac:dyDescent="0.2">
      <c r="A49" s="2" t="s">
        <v>139</v>
      </c>
      <c r="B49" s="6"/>
      <c r="C49" s="6"/>
      <c r="D49" s="6"/>
      <c r="E49" s="6"/>
      <c r="F49" s="6"/>
    </row>
    <row r="50" spans="1:6" ht="15" customHeight="1" x14ac:dyDescent="0.2">
      <c r="A50" s="7" t="s">
        <v>140</v>
      </c>
      <c r="B50" s="14">
        <f>B30/B34</f>
        <v>9.9488307236014706E-2</v>
      </c>
      <c r="C50" s="14">
        <f>C30/C34</f>
        <v>0.10307574245090194</v>
      </c>
      <c r="D50" s="14">
        <f>D30/D34</f>
        <v>0.10578136889061882</v>
      </c>
      <c r="E50" s="14">
        <f>E30/E34</f>
        <v>0.10782193937978515</v>
      </c>
      <c r="F50" s="14">
        <f>F30/F34</f>
        <v>0.10936092785954447</v>
      </c>
    </row>
    <row r="51" spans="1:6" ht="15" customHeight="1" x14ac:dyDescent="0.2">
      <c r="A51" s="7" t="s">
        <v>141</v>
      </c>
      <c r="B51" s="14">
        <f>B30/B37</f>
        <v>0.18423628440968265</v>
      </c>
      <c r="C51" s="14">
        <f>C30/C37</f>
        <v>0.21858973246070457</v>
      </c>
      <c r="D51" s="14">
        <f>D30/D37</f>
        <v>0.25112665839788217</v>
      </c>
      <c r="E51" s="14">
        <f>E30/E37</f>
        <v>0.28059610831471099</v>
      </c>
      <c r="F51" s="14">
        <f>F30/F37</f>
        <v>0.30622735678769331</v>
      </c>
    </row>
    <row r="52" spans="1:6" ht="15" customHeight="1" x14ac:dyDescent="0.2">
      <c r="A52" s="7" t="s">
        <v>142</v>
      </c>
      <c r="B52" s="10">
        <f>B35/B37</f>
        <v>0.62378976220626392</v>
      </c>
      <c r="C52" s="10">
        <f>C35/C37</f>
        <v>0.53875606474284832</v>
      </c>
      <c r="D52" s="10">
        <f>D35/D37</f>
        <v>0.45486894494954427</v>
      </c>
      <c r="E52" s="10">
        <f>E35/E37</f>
        <v>0.37606327515020088</v>
      </c>
      <c r="F52" s="10">
        <f>F35/F37</f>
        <v>0.30517713151713755</v>
      </c>
    </row>
    <row r="53" spans="1:6" ht="15" customHeight="1" x14ac:dyDescent="0.2">
      <c r="A53" s="7" t="s">
        <v>143</v>
      </c>
      <c r="B53" s="10">
        <f>B34/B37</f>
        <v>1.8518385680502285</v>
      </c>
      <c r="C53" s="10">
        <f>C34/C37</f>
        <v>2.1206709480150034</v>
      </c>
      <c r="D53" s="10">
        <f>D34/D37</f>
        <v>2.374015963600876</v>
      </c>
      <c r="E53" s="10">
        <f>E34/E37</f>
        <v>2.6024027199729463</v>
      </c>
      <c r="F53" s="10">
        <f>F34/F37</f>
        <v>2.800153242856446</v>
      </c>
    </row>
    <row r="54" spans="1:6" ht="15" customHeight="1" x14ac:dyDescent="0.2">
      <c r="A54" s="7" t="s">
        <v>144</v>
      </c>
      <c r="B54" s="10">
        <f>B47/B37</f>
        <v>0.21031006385926443</v>
      </c>
      <c r="C54" s="10">
        <f>C47/C37</f>
        <v>0.15132519545806958</v>
      </c>
      <c r="D54" s="10">
        <f>D47/D37</f>
        <v>9.7146596763862447E-2</v>
      </c>
      <c r="E54" s="10">
        <f>E47/E37</f>
        <v>4.9499831384741372E-2</v>
      </c>
      <c r="F54" s="10">
        <f>F47/F37</f>
        <v>9.2396232799486014E-3</v>
      </c>
    </row>
    <row r="55" spans="1:6" ht="15" customHeight="1" x14ac:dyDescent="0.2">
      <c r="A55" s="7" t="s">
        <v>26</v>
      </c>
      <c r="B55" s="42">
        <f>B37/B18</f>
        <v>965.27339186334223</v>
      </c>
      <c r="C55" s="42">
        <f>C37/C18</f>
        <v>1117.6257660540068</v>
      </c>
      <c r="D55" s="42">
        <f>D37/D18</f>
        <v>1323.7387741237385</v>
      </c>
      <c r="E55" s="42">
        <f>E37/E18</f>
        <v>1601.1339031549312</v>
      </c>
      <c r="F55" s="42">
        <f>F37/F18</f>
        <v>1973.0431850548241</v>
      </c>
    </row>
    <row r="57" spans="1:6" ht="15" customHeight="1" x14ac:dyDescent="0.2">
      <c r="A57" s="43"/>
    </row>
    <row r="58" spans="1:6" ht="78" customHeight="1" x14ac:dyDescent="0.2">
      <c r="A58" s="107"/>
      <c r="B58" s="107"/>
      <c r="C58" s="107"/>
      <c r="D58" s="107"/>
      <c r="E58" s="107"/>
      <c r="F58" s="107"/>
    </row>
    <row r="60" spans="1:6" ht="15" customHeight="1" x14ac:dyDescent="0.2">
      <c r="A60" s="44" t="s">
        <v>145</v>
      </c>
    </row>
    <row r="61" spans="1:6" ht="15" customHeight="1" x14ac:dyDescent="0.2">
      <c r="A61" t="s">
        <v>146</v>
      </c>
      <c r="B61" s="101">
        <v>932</v>
      </c>
    </row>
    <row r="62" spans="1:6" ht="15" customHeight="1" x14ac:dyDescent="0.2">
      <c r="A62" t="s">
        <v>147</v>
      </c>
      <c r="B62" s="101">
        <v>1081</v>
      </c>
    </row>
    <row r="63" spans="1:6" ht="15" customHeight="1" x14ac:dyDescent="0.2">
      <c r="A63" t="s">
        <v>148</v>
      </c>
      <c r="B63" s="45">
        <f>'Income Statement'!$K$5</f>
        <v>4394</v>
      </c>
    </row>
    <row r="64" spans="1:6" ht="15" customHeight="1" x14ac:dyDescent="0.2">
      <c r="A64" t="s">
        <v>149</v>
      </c>
      <c r="B64" s="46">
        <f>B63-B62</f>
        <v>3313</v>
      </c>
    </row>
    <row r="65" spans="1:2" ht="15" customHeight="1" x14ac:dyDescent="0.2">
      <c r="A65" t="s">
        <v>150</v>
      </c>
      <c r="B65" s="46">
        <f>('Income Statement'!$K$5/'Income Statement'!$H$5)^(1/3)-1</f>
        <v>0.32591667579307804</v>
      </c>
    </row>
    <row r="66" spans="1:2" ht="15" customHeight="1" x14ac:dyDescent="0.2">
      <c r="A66" t="s">
        <v>151</v>
      </c>
      <c r="B66" s="46">
        <f>B64*(1+B65)</f>
        <v>4392.7619469024676</v>
      </c>
    </row>
    <row r="67" spans="1:2" ht="15" customHeight="1" x14ac:dyDescent="0.2">
      <c r="A67" t="s">
        <v>152</v>
      </c>
      <c r="B67" s="46">
        <f>B61+B66</f>
        <v>5324.7619469024676</v>
      </c>
    </row>
    <row r="68" spans="1:2" ht="15" customHeight="1" x14ac:dyDescent="0.2">
      <c r="A68" t="s">
        <v>153</v>
      </c>
      <c r="B68" s="46">
        <f>B67/B63-1</f>
        <v>0.21182565928595065</v>
      </c>
    </row>
    <row r="70" spans="1:2" ht="15" customHeight="1" x14ac:dyDescent="0.2">
      <c r="A70" s="43"/>
    </row>
    <row r="71" spans="1:2" ht="15" customHeight="1" x14ac:dyDescent="0.2">
      <c r="A71" s="47"/>
    </row>
  </sheetData>
  <mergeCells count="3">
    <mergeCell ref="A1:F1"/>
    <mergeCell ref="A2:F2"/>
    <mergeCell ref="A58:F5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showGridLines="0" zoomScaleNormal="100" workbookViewId="0">
      <pane xSplit="1" ySplit="4" topLeftCell="B10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2" customWidth="1"/>
    <col min="2" max="2" width="13" customWidth="1"/>
  </cols>
  <sheetData>
    <row r="1" spans="1:11" ht="18" customHeight="1" x14ac:dyDescent="0.2">
      <c r="A1" s="108" t="s">
        <v>154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15" customHeight="1" x14ac:dyDescent="0.2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4" spans="1:11" ht="15" customHeight="1" x14ac:dyDescent="0.2">
      <c r="A4" s="48" t="s">
        <v>1</v>
      </c>
      <c r="B4" s="49" t="s">
        <v>2</v>
      </c>
      <c r="C4" s="49" t="s">
        <v>3</v>
      </c>
      <c r="D4" s="49" t="s">
        <v>4</v>
      </c>
      <c r="E4" s="49" t="s">
        <v>5</v>
      </c>
      <c r="F4" s="49" t="s">
        <v>6</v>
      </c>
      <c r="G4" s="49" t="s">
        <v>7</v>
      </c>
      <c r="H4" s="49" t="s">
        <v>8</v>
      </c>
      <c r="I4" s="49" t="s">
        <v>9</v>
      </c>
      <c r="J4" s="49" t="s">
        <v>10</v>
      </c>
      <c r="K4" s="49" t="s">
        <v>11</v>
      </c>
    </row>
    <row r="5" spans="1:11" ht="15" customHeight="1" x14ac:dyDescent="0.2">
      <c r="A5" s="34" t="s">
        <v>155</v>
      </c>
      <c r="B5" s="50">
        <v>2487</v>
      </c>
      <c r="C5" s="50">
        <v>1993</v>
      </c>
      <c r="D5" s="50">
        <v>1683</v>
      </c>
      <c r="E5" s="50">
        <v>1728</v>
      </c>
      <c r="F5" s="50">
        <v>1440</v>
      </c>
      <c r="G5" s="50">
        <v>1405</v>
      </c>
      <c r="H5" s="50">
        <v>1885</v>
      </c>
      <c r="I5" s="50">
        <v>3108</v>
      </c>
      <c r="J5" s="50">
        <v>4033</v>
      </c>
      <c r="K5" s="50">
        <v>4394</v>
      </c>
    </row>
    <row r="6" spans="1:11" ht="15" customHeight="1" x14ac:dyDescent="0.2">
      <c r="A6" s="34" t="s">
        <v>156</v>
      </c>
      <c r="B6" s="50">
        <v>-2165</v>
      </c>
      <c r="C6" s="50">
        <v>-1665</v>
      </c>
      <c r="D6" s="50">
        <v>-1391</v>
      </c>
      <c r="E6" s="50">
        <v>-1486</v>
      </c>
      <c r="F6" s="50">
        <v>-1205</v>
      </c>
      <c r="G6" s="50">
        <v>-1184</v>
      </c>
      <c r="H6" s="50">
        <v>-1512</v>
      </c>
      <c r="I6" s="50">
        <v>-2102</v>
      </c>
      <c r="J6" s="50">
        <v>-2936</v>
      </c>
      <c r="K6" s="50">
        <v>-3205</v>
      </c>
    </row>
    <row r="7" spans="1:11" ht="15" customHeight="1" x14ac:dyDescent="0.2">
      <c r="A7" s="51" t="s">
        <v>116</v>
      </c>
      <c r="B7" s="52">
        <f t="shared" ref="B7:K7" si="0">B5+B6</f>
        <v>322</v>
      </c>
      <c r="C7" s="52">
        <f t="shared" si="0"/>
        <v>328</v>
      </c>
      <c r="D7" s="52">
        <f t="shared" si="0"/>
        <v>292</v>
      </c>
      <c r="E7" s="52">
        <f t="shared" si="0"/>
        <v>242</v>
      </c>
      <c r="F7" s="52">
        <f t="shared" si="0"/>
        <v>235</v>
      </c>
      <c r="G7" s="52">
        <f t="shared" si="0"/>
        <v>221</v>
      </c>
      <c r="H7" s="52">
        <f t="shared" si="0"/>
        <v>373</v>
      </c>
      <c r="I7" s="52">
        <f t="shared" si="0"/>
        <v>1006</v>
      </c>
      <c r="J7" s="52">
        <f t="shared" si="0"/>
        <v>1097</v>
      </c>
      <c r="K7" s="52">
        <f t="shared" si="0"/>
        <v>1189</v>
      </c>
    </row>
    <row r="8" spans="1:11" ht="15" customHeight="1" x14ac:dyDescent="0.2">
      <c r="A8" s="34" t="s">
        <v>157</v>
      </c>
      <c r="B8" s="50">
        <v>-168</v>
      </c>
      <c r="C8" s="50">
        <v>-302</v>
      </c>
      <c r="D8" s="50">
        <v>-204</v>
      </c>
      <c r="E8" s="50">
        <v>-202</v>
      </c>
      <c r="F8" s="50">
        <v>-152</v>
      </c>
      <c r="G8" s="50">
        <v>-155</v>
      </c>
      <c r="H8" s="50">
        <v>-189</v>
      </c>
      <c r="I8" s="50">
        <v>-273</v>
      </c>
      <c r="J8" s="50">
        <v>-315</v>
      </c>
      <c r="K8" s="50">
        <v>-417</v>
      </c>
    </row>
    <row r="9" spans="1:11" ht="15" customHeight="1" x14ac:dyDescent="0.2">
      <c r="A9" s="51" t="s">
        <v>158</v>
      </c>
      <c r="B9" s="53">
        <f t="shared" ref="B9:K9" si="1">B7+B8</f>
        <v>154</v>
      </c>
      <c r="C9" s="52">
        <f t="shared" si="1"/>
        <v>26</v>
      </c>
      <c r="D9" s="52">
        <f t="shared" si="1"/>
        <v>88</v>
      </c>
      <c r="E9" s="52">
        <f t="shared" si="1"/>
        <v>40</v>
      </c>
      <c r="F9" s="52">
        <f t="shared" si="1"/>
        <v>83</v>
      </c>
      <c r="G9" s="52">
        <f t="shared" si="1"/>
        <v>66</v>
      </c>
      <c r="H9" s="52">
        <f t="shared" si="1"/>
        <v>184</v>
      </c>
      <c r="I9" s="52">
        <f t="shared" si="1"/>
        <v>733</v>
      </c>
      <c r="J9" s="52">
        <f t="shared" si="1"/>
        <v>782</v>
      </c>
      <c r="K9" s="52">
        <f t="shared" si="1"/>
        <v>772</v>
      </c>
    </row>
    <row r="10" spans="1:11" ht="15" customHeight="1" x14ac:dyDescent="0.2">
      <c r="B10" s="115"/>
      <c r="C10" s="54"/>
      <c r="D10" s="54"/>
      <c r="E10" s="54"/>
      <c r="F10" s="54"/>
      <c r="G10" s="54"/>
      <c r="H10" s="54"/>
      <c r="I10" s="54"/>
      <c r="J10" s="54"/>
      <c r="K10" s="54"/>
    </row>
    <row r="11" spans="1:11" ht="15" customHeight="1" x14ac:dyDescent="0.2">
      <c r="A11" s="55" t="s">
        <v>159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spans="1:11" ht="15" customHeight="1" x14ac:dyDescent="0.2">
      <c r="A12" s="34" t="s">
        <v>160</v>
      </c>
      <c r="B12" s="56">
        <v>-2</v>
      </c>
      <c r="C12" s="56">
        <v>0</v>
      </c>
      <c r="D12" s="56">
        <v>0</v>
      </c>
      <c r="E12" s="56">
        <v>15</v>
      </c>
      <c r="F12" s="56">
        <v>-7</v>
      </c>
      <c r="G12" s="56">
        <v>1</v>
      </c>
      <c r="H12" s="56">
        <v>-31</v>
      </c>
      <c r="I12" s="56">
        <v>5</v>
      </c>
      <c r="J12" s="56">
        <v>-5</v>
      </c>
      <c r="K12" s="56">
        <v>-37</v>
      </c>
    </row>
    <row r="13" spans="1:11" ht="15" customHeight="1" x14ac:dyDescent="0.2">
      <c r="A13" s="34" t="s">
        <v>161</v>
      </c>
      <c r="B13" s="57">
        <v>0</v>
      </c>
      <c r="C13" s="57">
        <v>0</v>
      </c>
      <c r="D13" s="56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</row>
    <row r="14" spans="1:11" ht="15" customHeight="1" x14ac:dyDescent="0.2">
      <c r="A14" s="34" t="s">
        <v>162</v>
      </c>
      <c r="B14" s="57">
        <v>-52</v>
      </c>
      <c r="C14" s="57">
        <v>-74</v>
      </c>
      <c r="D14" s="56">
        <v>-94</v>
      </c>
      <c r="E14" s="57">
        <v>-47</v>
      </c>
      <c r="F14" s="57">
        <v>-44</v>
      </c>
      <c r="G14" s="57">
        <v>-35</v>
      </c>
      <c r="H14" s="57">
        <v>-40</v>
      </c>
      <c r="I14" s="57">
        <v>-141</v>
      </c>
      <c r="J14" s="57">
        <v>-164</v>
      </c>
      <c r="K14" s="57">
        <v>-166</v>
      </c>
    </row>
    <row r="15" spans="1:11" ht="15" customHeight="1" x14ac:dyDescent="0.2">
      <c r="A15" s="34" t="s">
        <v>163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44</v>
      </c>
      <c r="H15" s="50">
        <v>104</v>
      </c>
      <c r="I15" s="50">
        <v>114</v>
      </c>
      <c r="J15" s="50">
        <v>98</v>
      </c>
      <c r="K15" s="50">
        <v>325</v>
      </c>
    </row>
    <row r="16" spans="1:11" ht="15" customHeight="1" x14ac:dyDescent="0.2">
      <c r="A16" s="34" t="s">
        <v>164</v>
      </c>
      <c r="B16" s="50">
        <v>0</v>
      </c>
      <c r="C16" s="50">
        <v>301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</row>
    <row r="17" spans="1:11" ht="15" customHeight="1" x14ac:dyDescent="0.2">
      <c r="A17" s="34" t="s">
        <v>165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</row>
    <row r="18" spans="1:11" ht="15" customHeight="1" x14ac:dyDescent="0.2">
      <c r="A18" s="34" t="s">
        <v>166</v>
      </c>
      <c r="B18" s="50">
        <v>44</v>
      </c>
      <c r="C18" s="50">
        <v>-8</v>
      </c>
      <c r="D18" s="50">
        <v>220</v>
      </c>
      <c r="E18" s="50">
        <v>120</v>
      </c>
      <c r="F18" s="50">
        <v>34</v>
      </c>
      <c r="G18" s="50">
        <v>-9</v>
      </c>
      <c r="H18" s="50">
        <v>-22</v>
      </c>
      <c r="I18" s="50">
        <v>-90</v>
      </c>
      <c r="J18" s="50">
        <v>-11</v>
      </c>
      <c r="K18" s="50">
        <v>-78</v>
      </c>
    </row>
    <row r="19" spans="1:11" ht="15" customHeight="1" x14ac:dyDescent="0.2">
      <c r="A19" s="51" t="s">
        <v>167</v>
      </c>
      <c r="B19" s="52">
        <f t="shared" ref="B19:K19" si="2">SUM(B12:B18)</f>
        <v>-10</v>
      </c>
      <c r="C19" s="52">
        <f t="shared" si="2"/>
        <v>219</v>
      </c>
      <c r="D19" s="52">
        <f t="shared" si="2"/>
        <v>126</v>
      </c>
      <c r="E19" s="52">
        <f t="shared" si="2"/>
        <v>88</v>
      </c>
      <c r="F19" s="52">
        <f t="shared" si="2"/>
        <v>-17</v>
      </c>
      <c r="G19" s="52">
        <f t="shared" si="2"/>
        <v>1</v>
      </c>
      <c r="H19" s="52">
        <f t="shared" si="2"/>
        <v>11</v>
      </c>
      <c r="I19" s="52">
        <f t="shared" si="2"/>
        <v>-112</v>
      </c>
      <c r="J19" s="52">
        <f t="shared" si="2"/>
        <v>-82</v>
      </c>
      <c r="K19" s="52">
        <f t="shared" si="2"/>
        <v>44</v>
      </c>
    </row>
    <row r="20" spans="1:11" ht="15" customHeight="1" x14ac:dyDescent="0.2">
      <c r="A20" s="51" t="s">
        <v>168</v>
      </c>
      <c r="B20" s="52">
        <f t="shared" ref="B20:K20" si="3">B9+B19</f>
        <v>144</v>
      </c>
      <c r="C20" s="52">
        <f t="shared" si="3"/>
        <v>245</v>
      </c>
      <c r="D20" s="52">
        <f t="shared" si="3"/>
        <v>214</v>
      </c>
      <c r="E20" s="52">
        <f t="shared" si="3"/>
        <v>128</v>
      </c>
      <c r="F20" s="52">
        <f t="shared" si="3"/>
        <v>66</v>
      </c>
      <c r="G20" s="52">
        <f t="shared" si="3"/>
        <v>67</v>
      </c>
      <c r="H20" s="52">
        <f t="shared" si="3"/>
        <v>195</v>
      </c>
      <c r="I20" s="52">
        <f t="shared" si="3"/>
        <v>621</v>
      </c>
      <c r="J20" s="52">
        <f t="shared" si="3"/>
        <v>700</v>
      </c>
      <c r="K20" s="52">
        <f t="shared" si="3"/>
        <v>816</v>
      </c>
    </row>
    <row r="21" spans="1:11" ht="15" customHeight="1" x14ac:dyDescent="0.2">
      <c r="A21" s="34" t="s">
        <v>122</v>
      </c>
      <c r="B21" s="50">
        <v>-42</v>
      </c>
      <c r="C21" s="50">
        <v>-60</v>
      </c>
      <c r="D21" s="50">
        <v>-38</v>
      </c>
      <c r="E21" s="50">
        <v>-38</v>
      </c>
      <c r="F21" s="50">
        <v>-29</v>
      </c>
      <c r="G21" s="50">
        <v>-18</v>
      </c>
      <c r="H21" s="50">
        <v>-32</v>
      </c>
      <c r="I21" s="50">
        <v>-206</v>
      </c>
      <c r="J21" s="50">
        <v>-240</v>
      </c>
      <c r="K21" s="50">
        <v>-239</v>
      </c>
    </row>
    <row r="22" spans="1:11" ht="15" customHeight="1" x14ac:dyDescent="0.2">
      <c r="A22" s="34" t="s">
        <v>169</v>
      </c>
      <c r="B22" s="50">
        <v>103</v>
      </c>
      <c r="C22" s="50">
        <v>185</v>
      </c>
      <c r="D22" s="50">
        <v>177</v>
      </c>
      <c r="E22" s="50">
        <v>90</v>
      </c>
      <c r="F22" s="50">
        <v>37</v>
      </c>
      <c r="G22" s="50">
        <v>49</v>
      </c>
      <c r="H22" s="50">
        <v>161</v>
      </c>
      <c r="I22" s="50">
        <v>414</v>
      </c>
      <c r="J22" s="50">
        <v>461</v>
      </c>
      <c r="K22" s="50">
        <v>577</v>
      </c>
    </row>
    <row r="23" spans="1:11" ht="15" customHeight="1" x14ac:dyDescent="0.2">
      <c r="A23" s="34" t="s">
        <v>170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</row>
    <row r="24" spans="1:11" ht="15" customHeight="1" x14ac:dyDescent="0.2">
      <c r="A24" s="34" t="s">
        <v>171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</row>
    <row r="25" spans="1:11" ht="15" customHeight="1" x14ac:dyDescent="0.2">
      <c r="A25" s="51" t="s">
        <v>123</v>
      </c>
      <c r="B25" s="52">
        <f t="shared" ref="B25:K25" si="4">B22+B24</f>
        <v>103</v>
      </c>
      <c r="C25" s="52">
        <f t="shared" si="4"/>
        <v>185</v>
      </c>
      <c r="D25" s="52">
        <f t="shared" si="4"/>
        <v>177</v>
      </c>
      <c r="E25" s="52">
        <f t="shared" si="4"/>
        <v>90</v>
      </c>
      <c r="F25" s="52">
        <f t="shared" si="4"/>
        <v>37</v>
      </c>
      <c r="G25" s="52">
        <f t="shared" si="4"/>
        <v>49</v>
      </c>
      <c r="H25" s="52">
        <f t="shared" si="4"/>
        <v>161</v>
      </c>
      <c r="I25" s="52">
        <f t="shared" si="4"/>
        <v>414</v>
      </c>
      <c r="J25" s="52">
        <f t="shared" si="4"/>
        <v>461</v>
      </c>
      <c r="K25" s="52">
        <f t="shared" si="4"/>
        <v>577</v>
      </c>
    </row>
    <row r="26" spans="1:11" ht="15" customHeight="1" x14ac:dyDescent="0.2">
      <c r="A26" s="34" t="s">
        <v>172</v>
      </c>
      <c r="B26" s="50">
        <v>3</v>
      </c>
      <c r="C26" s="50">
        <v>8</v>
      </c>
      <c r="D26" s="50">
        <v>2</v>
      </c>
      <c r="E26" s="50">
        <v>-2</v>
      </c>
      <c r="F26" s="50">
        <v>-1</v>
      </c>
      <c r="G26" s="50">
        <v>2</v>
      </c>
      <c r="H26" s="50">
        <v>0</v>
      </c>
      <c r="I26" s="50">
        <v>-2</v>
      </c>
      <c r="J26" s="50">
        <v>0</v>
      </c>
      <c r="K26" s="50">
        <v>-23</v>
      </c>
    </row>
    <row r="27" spans="1:11" ht="15" customHeight="1" x14ac:dyDescent="0.2">
      <c r="A27" s="51" t="s">
        <v>173</v>
      </c>
      <c r="B27" s="52">
        <f t="shared" ref="B27:K27" si="5">B25+B26</f>
        <v>106</v>
      </c>
      <c r="C27" s="52">
        <f t="shared" si="5"/>
        <v>193</v>
      </c>
      <c r="D27" s="52">
        <f t="shared" si="5"/>
        <v>179</v>
      </c>
      <c r="E27" s="52">
        <f t="shared" si="5"/>
        <v>88</v>
      </c>
      <c r="F27" s="52">
        <f t="shared" si="5"/>
        <v>36</v>
      </c>
      <c r="G27" s="52">
        <f t="shared" si="5"/>
        <v>51</v>
      </c>
      <c r="H27" s="52">
        <f t="shared" si="5"/>
        <v>161</v>
      </c>
      <c r="I27" s="52">
        <f t="shared" si="5"/>
        <v>412</v>
      </c>
      <c r="J27" s="52">
        <f t="shared" si="5"/>
        <v>461</v>
      </c>
      <c r="K27" s="52">
        <f t="shared" si="5"/>
        <v>554</v>
      </c>
    </row>
    <row r="28" spans="1:11" ht="15" customHeight="1" x14ac:dyDescent="0.2">
      <c r="B28" s="54"/>
      <c r="C28" s="54"/>
      <c r="D28" s="54"/>
      <c r="E28" s="54"/>
      <c r="F28" s="54"/>
      <c r="G28" s="54"/>
      <c r="H28" s="54"/>
      <c r="I28" s="54"/>
      <c r="J28" s="54"/>
      <c r="K28" s="54"/>
    </row>
    <row r="29" spans="1:11" ht="15" customHeight="1" x14ac:dyDescent="0.2">
      <c r="A29" s="55" t="s">
        <v>174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spans="1:11" ht="15" customHeight="1" x14ac:dyDescent="0.2">
      <c r="A30" s="34" t="s">
        <v>175</v>
      </c>
      <c r="B30" s="50">
        <v>87</v>
      </c>
      <c r="C30" s="50">
        <v>156</v>
      </c>
      <c r="D30" s="50">
        <v>163</v>
      </c>
      <c r="E30" s="50">
        <v>81</v>
      </c>
      <c r="F30" s="50">
        <v>20</v>
      </c>
      <c r="G30" s="50">
        <v>32</v>
      </c>
      <c r="H30" s="50">
        <v>131</v>
      </c>
      <c r="I30" s="50">
        <v>391</v>
      </c>
      <c r="J30" s="50">
        <v>405</v>
      </c>
      <c r="K30" s="50">
        <v>449</v>
      </c>
    </row>
    <row r="31" spans="1:11" ht="15" customHeight="1" x14ac:dyDescent="0.2">
      <c r="A31" s="34" t="s">
        <v>176</v>
      </c>
      <c r="B31" s="50">
        <v>16</v>
      </c>
      <c r="C31" s="50">
        <v>29</v>
      </c>
      <c r="D31" s="50">
        <v>14</v>
      </c>
      <c r="E31" s="50">
        <v>9</v>
      </c>
      <c r="F31" s="50">
        <v>17</v>
      </c>
      <c r="G31" s="50">
        <v>16</v>
      </c>
      <c r="H31" s="50">
        <v>30</v>
      </c>
      <c r="I31" s="50">
        <v>24</v>
      </c>
      <c r="J31" s="50">
        <v>56</v>
      </c>
      <c r="K31" s="50">
        <v>128</v>
      </c>
    </row>
    <row r="32" spans="1:11" ht="15" customHeight="1" x14ac:dyDescent="0.2">
      <c r="A32" s="34" t="s">
        <v>177</v>
      </c>
      <c r="B32" s="50" t="s">
        <v>178</v>
      </c>
      <c r="C32" s="50" t="s">
        <v>178</v>
      </c>
      <c r="D32" s="50" t="s">
        <v>178</v>
      </c>
      <c r="E32" s="50" t="s">
        <v>178</v>
      </c>
      <c r="F32" s="50" t="s">
        <v>178</v>
      </c>
      <c r="G32" s="50" t="s">
        <v>178</v>
      </c>
      <c r="H32" s="50" t="s">
        <v>178</v>
      </c>
      <c r="I32" s="50" t="s">
        <v>178</v>
      </c>
      <c r="J32" s="50" t="s">
        <v>178</v>
      </c>
      <c r="K32" s="50" t="s">
        <v>178</v>
      </c>
    </row>
    <row r="33" spans="1:11" ht="15" customHeight="1" x14ac:dyDescent="0.2">
      <c r="A33" s="51" t="s">
        <v>179</v>
      </c>
      <c r="B33" s="52">
        <f t="shared" ref="B33:K33" si="6">SUM(B30:B32)</f>
        <v>103</v>
      </c>
      <c r="C33" s="52">
        <f t="shared" si="6"/>
        <v>185</v>
      </c>
      <c r="D33" s="52">
        <f t="shared" si="6"/>
        <v>177</v>
      </c>
      <c r="E33" s="52">
        <f t="shared" si="6"/>
        <v>90</v>
      </c>
      <c r="F33" s="52">
        <f t="shared" si="6"/>
        <v>37</v>
      </c>
      <c r="G33" s="52">
        <f t="shared" si="6"/>
        <v>48</v>
      </c>
      <c r="H33" s="52">
        <f t="shared" si="6"/>
        <v>161</v>
      </c>
      <c r="I33" s="52">
        <f t="shared" si="6"/>
        <v>415</v>
      </c>
      <c r="J33" s="52">
        <f t="shared" si="6"/>
        <v>461</v>
      </c>
      <c r="K33" s="52">
        <f t="shared" si="6"/>
        <v>577</v>
      </c>
    </row>
    <row r="34" spans="1:11" ht="15" customHeight="1" x14ac:dyDescent="0.2"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spans="1:11" ht="15" customHeight="1" x14ac:dyDescent="0.2">
      <c r="A35" s="55" t="s">
        <v>180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ht="15" customHeight="1" x14ac:dyDescent="0.2">
      <c r="A36" s="34" t="s">
        <v>175</v>
      </c>
      <c r="B36" s="50">
        <v>89</v>
      </c>
      <c r="C36" s="50">
        <v>161</v>
      </c>
      <c r="D36" s="50">
        <v>165</v>
      </c>
      <c r="E36" s="50">
        <v>79</v>
      </c>
      <c r="F36" s="50">
        <v>19</v>
      </c>
      <c r="G36" s="50">
        <v>34</v>
      </c>
      <c r="H36" s="50">
        <v>132</v>
      </c>
      <c r="I36" s="50">
        <v>389</v>
      </c>
      <c r="J36" s="50">
        <v>405</v>
      </c>
      <c r="K36" s="50">
        <v>427</v>
      </c>
    </row>
    <row r="37" spans="1:11" ht="15" customHeight="1" x14ac:dyDescent="0.2">
      <c r="A37" s="34" t="s">
        <v>176</v>
      </c>
      <c r="B37" s="50">
        <v>17</v>
      </c>
      <c r="C37" s="50">
        <v>31</v>
      </c>
      <c r="D37" s="50">
        <v>15</v>
      </c>
      <c r="E37" s="50">
        <v>9</v>
      </c>
      <c r="F37" s="50">
        <v>16</v>
      </c>
      <c r="G37" s="50">
        <v>17</v>
      </c>
      <c r="H37" s="50">
        <v>30</v>
      </c>
      <c r="I37" s="50">
        <v>23</v>
      </c>
      <c r="J37" s="50">
        <v>56</v>
      </c>
      <c r="K37" s="50">
        <v>127</v>
      </c>
    </row>
    <row r="38" spans="1:11" ht="15" customHeight="1" x14ac:dyDescent="0.2">
      <c r="A38" s="51" t="s">
        <v>181</v>
      </c>
      <c r="B38" s="52">
        <f t="shared" ref="B38:K38" si="7">SUM(B36:B37)</f>
        <v>106</v>
      </c>
      <c r="C38" s="52">
        <f t="shared" si="7"/>
        <v>192</v>
      </c>
      <c r="D38" s="52">
        <f t="shared" si="7"/>
        <v>180</v>
      </c>
      <c r="E38" s="52">
        <f t="shared" si="7"/>
        <v>88</v>
      </c>
      <c r="F38" s="52">
        <f t="shared" si="7"/>
        <v>35</v>
      </c>
      <c r="G38" s="52">
        <f t="shared" si="7"/>
        <v>51</v>
      </c>
      <c r="H38" s="52">
        <f t="shared" si="7"/>
        <v>162</v>
      </c>
      <c r="I38" s="52">
        <f t="shared" si="7"/>
        <v>412</v>
      </c>
      <c r="J38" s="52">
        <f t="shared" si="7"/>
        <v>461</v>
      </c>
      <c r="K38" s="52">
        <f t="shared" si="7"/>
        <v>554</v>
      </c>
    </row>
    <row r="41" spans="1:11" ht="15" customHeight="1" x14ac:dyDescent="0.2">
      <c r="A41" s="110" t="s">
        <v>182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</row>
    <row r="42" spans="1:11" ht="15" customHeight="1" x14ac:dyDescent="0.2">
      <c r="A42" s="34" t="s">
        <v>183</v>
      </c>
      <c r="B42" s="58">
        <v>4.08</v>
      </c>
      <c r="C42" s="58">
        <v>4.08</v>
      </c>
      <c r="D42" s="58">
        <v>4.2300000000000004</v>
      </c>
      <c r="E42" s="58">
        <v>4.2300000000000004</v>
      </c>
      <c r="F42" s="58">
        <v>4.2300000000000004</v>
      </c>
      <c r="G42" s="58">
        <v>4.2300000000000004</v>
      </c>
      <c r="H42" s="58">
        <v>4.2300000000000004</v>
      </c>
      <c r="I42" s="58">
        <v>4.2300000000000004</v>
      </c>
      <c r="J42" s="58">
        <v>4.2300000000000004</v>
      </c>
      <c r="K42" s="58">
        <v>4.2300000000000004</v>
      </c>
    </row>
    <row r="43" spans="1:11" ht="15" customHeight="1" x14ac:dyDescent="0.2">
      <c r="A43" s="34" t="s">
        <v>184</v>
      </c>
      <c r="B43" s="59">
        <f t="shared" ref="B43:K43" si="8">B30/B42</f>
        <v>21.323529411764707</v>
      </c>
      <c r="C43" s="59">
        <f t="shared" si="8"/>
        <v>38.235294117647058</v>
      </c>
      <c r="D43" s="59">
        <f t="shared" si="8"/>
        <v>38.534278959810869</v>
      </c>
      <c r="E43" s="59">
        <f t="shared" si="8"/>
        <v>19.148936170212764</v>
      </c>
      <c r="F43" s="59">
        <f t="shared" si="8"/>
        <v>4.7281323877068555</v>
      </c>
      <c r="G43" s="59">
        <f t="shared" si="8"/>
        <v>7.5650118203309686</v>
      </c>
      <c r="H43" s="59">
        <f t="shared" si="8"/>
        <v>30.969267139479904</v>
      </c>
      <c r="I43" s="59">
        <f t="shared" si="8"/>
        <v>92.43498817966902</v>
      </c>
      <c r="J43" s="59">
        <f t="shared" si="8"/>
        <v>95.744680851063819</v>
      </c>
      <c r="K43" s="59">
        <f t="shared" si="8"/>
        <v>106.1465721040189</v>
      </c>
    </row>
    <row r="44" spans="1:11" ht="15" customHeight="1" x14ac:dyDescent="0.2">
      <c r="A44" s="60"/>
    </row>
    <row r="45" spans="1:11" ht="15" customHeight="1" x14ac:dyDescent="0.2">
      <c r="A45" s="60"/>
    </row>
  </sheetData>
  <mergeCells count="3">
    <mergeCell ref="A1:K1"/>
    <mergeCell ref="A2:K2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8" customWidth="1"/>
    <col min="2" max="2" width="12" customWidth="1"/>
  </cols>
  <sheetData>
    <row r="1" spans="1:11" ht="18" customHeight="1" x14ac:dyDescent="0.2">
      <c r="A1" s="108" t="s">
        <v>185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15" customHeight="1" x14ac:dyDescent="0.2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4" spans="1:11" ht="15" customHeight="1" x14ac:dyDescent="0.2">
      <c r="A4" s="48" t="s">
        <v>1</v>
      </c>
      <c r="B4" s="49" t="s">
        <v>2</v>
      </c>
      <c r="C4" s="49" t="s">
        <v>3</v>
      </c>
      <c r="D4" s="49" t="s">
        <v>4</v>
      </c>
      <c r="E4" s="49" t="s">
        <v>5</v>
      </c>
      <c r="F4" s="49" t="s">
        <v>6</v>
      </c>
      <c r="G4" s="49" t="s">
        <v>7</v>
      </c>
      <c r="H4" s="49" t="s">
        <v>8</v>
      </c>
      <c r="I4" s="49" t="s">
        <v>9</v>
      </c>
      <c r="J4" s="49" t="s">
        <v>10</v>
      </c>
      <c r="K4" s="49" t="s">
        <v>11</v>
      </c>
    </row>
    <row r="5" spans="1:11" ht="15" customHeight="1" x14ac:dyDescent="0.2">
      <c r="A5" s="111" t="s">
        <v>186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15" customHeight="1" x14ac:dyDescent="0.2">
      <c r="A6" s="61" t="s">
        <v>187</v>
      </c>
      <c r="B6" s="62"/>
      <c r="C6" s="62"/>
      <c r="D6" s="62"/>
      <c r="E6" s="62"/>
      <c r="F6" s="62"/>
      <c r="G6" s="62"/>
      <c r="H6" s="62"/>
      <c r="I6" s="62"/>
      <c r="J6" s="62"/>
      <c r="K6" s="62"/>
    </row>
    <row r="7" spans="1:11" ht="15" customHeight="1" x14ac:dyDescent="0.2">
      <c r="A7" s="61" t="s">
        <v>188</v>
      </c>
      <c r="B7" s="62"/>
      <c r="C7" s="62"/>
      <c r="D7" s="62"/>
      <c r="E7" s="62"/>
      <c r="F7" s="62"/>
      <c r="G7" s="62"/>
      <c r="H7" s="62"/>
      <c r="I7" s="62"/>
      <c r="J7" s="62"/>
      <c r="K7" s="62"/>
    </row>
    <row r="8" spans="1:11" ht="15" customHeight="1" x14ac:dyDescent="0.2">
      <c r="A8" s="34" t="s">
        <v>189</v>
      </c>
      <c r="B8" s="50">
        <v>174</v>
      </c>
      <c r="C8" s="50">
        <v>174</v>
      </c>
      <c r="D8" s="50">
        <v>290</v>
      </c>
      <c r="E8" s="50">
        <v>304</v>
      </c>
      <c r="F8" s="50">
        <v>547</v>
      </c>
      <c r="G8" s="50">
        <v>555</v>
      </c>
      <c r="H8" s="50">
        <v>469</v>
      </c>
      <c r="I8" s="50">
        <v>538</v>
      </c>
      <c r="J8" s="50">
        <v>717</v>
      </c>
      <c r="K8" s="50">
        <v>1519</v>
      </c>
    </row>
    <row r="9" spans="1:11" ht="15" customHeight="1" x14ac:dyDescent="0.2">
      <c r="A9" s="34" t="s">
        <v>190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4</v>
      </c>
      <c r="K9" s="50">
        <v>0</v>
      </c>
    </row>
    <row r="10" spans="1:11" ht="15" customHeight="1" x14ac:dyDescent="0.2">
      <c r="A10" s="51" t="s">
        <v>191</v>
      </c>
      <c r="B10" s="52">
        <v>174</v>
      </c>
      <c r="C10" s="52">
        <v>174</v>
      </c>
      <c r="D10" s="52">
        <v>290</v>
      </c>
      <c r="E10" s="52">
        <v>304</v>
      </c>
      <c r="F10" s="52">
        <v>547</v>
      </c>
      <c r="G10" s="52">
        <v>555</v>
      </c>
      <c r="H10" s="52">
        <v>469</v>
      </c>
      <c r="I10" s="52">
        <v>538</v>
      </c>
      <c r="J10" s="52">
        <v>717</v>
      </c>
      <c r="K10" s="52">
        <v>1519</v>
      </c>
    </row>
    <row r="11" spans="1:11" ht="15" customHeight="1" x14ac:dyDescent="0.2">
      <c r="A11" s="61" t="s">
        <v>192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</row>
    <row r="12" spans="1:11" ht="15" customHeight="1" x14ac:dyDescent="0.2">
      <c r="A12" s="34" t="s">
        <v>193</v>
      </c>
      <c r="B12" s="50">
        <v>6</v>
      </c>
      <c r="C12" s="50">
        <v>5</v>
      </c>
      <c r="D12" s="50">
        <v>7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83</v>
      </c>
    </row>
    <row r="13" spans="1:11" ht="15" customHeight="1" x14ac:dyDescent="0.2">
      <c r="A13" s="34" t="s">
        <v>190</v>
      </c>
      <c r="B13" s="50">
        <v>119</v>
      </c>
      <c r="C13" s="50">
        <v>258</v>
      </c>
      <c r="D13" s="50">
        <v>200</v>
      </c>
      <c r="E13" s="50">
        <v>213</v>
      </c>
      <c r="F13" s="50">
        <v>150</v>
      </c>
      <c r="G13" s="50">
        <v>175</v>
      </c>
      <c r="H13" s="50">
        <v>255</v>
      </c>
      <c r="I13" s="50">
        <v>471</v>
      </c>
      <c r="J13" s="50">
        <v>542</v>
      </c>
      <c r="K13" s="50">
        <v>469</v>
      </c>
    </row>
    <row r="14" spans="1:11" ht="15" customHeight="1" x14ac:dyDescent="0.2">
      <c r="A14" s="51" t="s">
        <v>194</v>
      </c>
      <c r="B14" s="52">
        <v>125</v>
      </c>
      <c r="C14" s="52">
        <v>262</v>
      </c>
      <c r="D14" s="52">
        <v>207</v>
      </c>
      <c r="E14" s="52">
        <v>214</v>
      </c>
      <c r="F14" s="52">
        <v>150</v>
      </c>
      <c r="G14" s="52">
        <v>175</v>
      </c>
      <c r="H14" s="52">
        <v>255</v>
      </c>
      <c r="I14" s="52">
        <v>471</v>
      </c>
      <c r="J14" s="52">
        <v>542</v>
      </c>
      <c r="K14" s="52">
        <v>551</v>
      </c>
    </row>
    <row r="15" spans="1:11" ht="15" customHeight="1" x14ac:dyDescent="0.2">
      <c r="A15" s="61" t="s">
        <v>195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</row>
    <row r="16" spans="1:11" ht="15" customHeight="1" x14ac:dyDescent="0.2">
      <c r="A16" s="34" t="s">
        <v>193</v>
      </c>
      <c r="B16" s="50">
        <v>8</v>
      </c>
      <c r="C16" s="50">
        <v>7</v>
      </c>
      <c r="D16" s="50">
        <v>282</v>
      </c>
      <c r="E16" s="50">
        <v>258</v>
      </c>
      <c r="F16" s="50">
        <v>22</v>
      </c>
      <c r="G16" s="50">
        <v>6</v>
      </c>
      <c r="H16" s="50">
        <v>5</v>
      </c>
      <c r="I16" s="50">
        <v>94</v>
      </c>
      <c r="J16" s="50">
        <v>68</v>
      </c>
      <c r="K16" s="50">
        <v>3</v>
      </c>
    </row>
    <row r="17" spans="1:11" ht="15" customHeight="1" x14ac:dyDescent="0.2">
      <c r="A17" s="34" t="s">
        <v>190</v>
      </c>
      <c r="B17" s="50">
        <v>41</v>
      </c>
      <c r="C17" s="50">
        <v>80</v>
      </c>
      <c r="D17" s="50">
        <v>78</v>
      </c>
      <c r="E17" s="50">
        <v>108</v>
      </c>
      <c r="F17" s="50">
        <v>72</v>
      </c>
      <c r="G17" s="50">
        <v>77</v>
      </c>
      <c r="H17" s="50">
        <v>64</v>
      </c>
      <c r="I17" s="50">
        <v>59</v>
      </c>
      <c r="J17" s="50">
        <v>43</v>
      </c>
      <c r="K17" s="50">
        <v>95</v>
      </c>
    </row>
    <row r="18" spans="1:11" ht="15" customHeight="1" x14ac:dyDescent="0.2">
      <c r="A18" s="51" t="s">
        <v>196</v>
      </c>
      <c r="B18" s="52">
        <v>49</v>
      </c>
      <c r="C18" s="52">
        <v>88</v>
      </c>
      <c r="D18" s="52">
        <v>360</v>
      </c>
      <c r="E18" s="52">
        <v>367</v>
      </c>
      <c r="F18" s="52">
        <v>94</v>
      </c>
      <c r="G18" s="52">
        <v>82</v>
      </c>
      <c r="H18" s="52">
        <v>69</v>
      </c>
      <c r="I18" s="52">
        <v>153</v>
      </c>
      <c r="J18" s="52">
        <v>111</v>
      </c>
      <c r="K18" s="52">
        <v>97</v>
      </c>
    </row>
    <row r="19" spans="1:11" ht="15" customHeight="1" x14ac:dyDescent="0.2">
      <c r="A19" s="34" t="s">
        <v>197</v>
      </c>
      <c r="B19" s="50">
        <v>52</v>
      </c>
      <c r="C19" s="50">
        <v>99</v>
      </c>
      <c r="D19" s="50">
        <v>2</v>
      </c>
      <c r="E19" s="50">
        <v>2</v>
      </c>
      <c r="F19" s="50">
        <v>4</v>
      </c>
      <c r="G19" s="50">
        <v>7</v>
      </c>
      <c r="H19" s="50">
        <v>12</v>
      </c>
      <c r="I19" s="50">
        <v>11</v>
      </c>
      <c r="J19" s="50">
        <v>9</v>
      </c>
      <c r="K19" s="50">
        <v>11</v>
      </c>
    </row>
    <row r="20" spans="1:11" ht="15" customHeight="1" x14ac:dyDescent="0.2">
      <c r="A20" s="34" t="s">
        <v>198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10</v>
      </c>
    </row>
    <row r="21" spans="1:11" ht="15" customHeight="1" x14ac:dyDescent="0.2">
      <c r="A21" s="34" t="s">
        <v>199</v>
      </c>
      <c r="B21" s="50">
        <v>40</v>
      </c>
      <c r="C21" s="50">
        <v>47</v>
      </c>
      <c r="D21" s="50">
        <v>109</v>
      </c>
      <c r="E21" s="50">
        <v>98</v>
      </c>
      <c r="F21" s="50">
        <v>71</v>
      </c>
      <c r="G21" s="50">
        <v>133</v>
      </c>
      <c r="H21" s="50">
        <v>109</v>
      </c>
      <c r="I21" s="50">
        <v>69</v>
      </c>
      <c r="J21" s="50">
        <v>88</v>
      </c>
      <c r="K21" s="50">
        <v>112</v>
      </c>
    </row>
    <row r="22" spans="1:11" ht="15" customHeight="1" x14ac:dyDescent="0.2">
      <c r="A22" s="51" t="s">
        <v>200</v>
      </c>
      <c r="B22" s="52">
        <v>440</v>
      </c>
      <c r="C22" s="52">
        <v>671</v>
      </c>
      <c r="D22" s="52">
        <v>968</v>
      </c>
      <c r="E22" s="52">
        <v>984</v>
      </c>
      <c r="F22" s="52">
        <v>868</v>
      </c>
      <c r="G22" s="52">
        <v>953</v>
      </c>
      <c r="H22" s="52">
        <v>914</v>
      </c>
      <c r="I22" s="52">
        <v>1243</v>
      </c>
      <c r="J22" s="52">
        <v>1467</v>
      </c>
      <c r="K22" s="52">
        <v>2301</v>
      </c>
    </row>
    <row r="23" spans="1:11" ht="15" customHeight="1" x14ac:dyDescent="0.2"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spans="1:11" ht="15" customHeight="1" x14ac:dyDescent="0.2">
      <c r="A24" s="51" t="s">
        <v>201</v>
      </c>
      <c r="B24" s="52">
        <v>1511</v>
      </c>
      <c r="C24" s="52">
        <v>1368</v>
      </c>
      <c r="D24" s="52">
        <v>1799</v>
      </c>
      <c r="E24" s="52">
        <v>1524</v>
      </c>
      <c r="F24" s="52">
        <v>1483</v>
      </c>
      <c r="G24" s="52">
        <v>2554</v>
      </c>
      <c r="H24" s="52">
        <v>3148</v>
      </c>
      <c r="I24" s="52">
        <v>3831</v>
      </c>
      <c r="J24" s="52">
        <v>3886</v>
      </c>
      <c r="K24" s="52">
        <v>5685</v>
      </c>
    </row>
    <row r="25" spans="1:11" ht="15" customHeight="1" x14ac:dyDescent="0.2"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spans="1:11" ht="15" customHeight="1" x14ac:dyDescent="0.2">
      <c r="A26" s="51" t="s">
        <v>202</v>
      </c>
      <c r="B26" s="52">
        <v>1951</v>
      </c>
      <c r="C26" s="52">
        <v>2039</v>
      </c>
      <c r="D26" s="52">
        <v>2767</v>
      </c>
      <c r="E26" s="52">
        <v>2508</v>
      </c>
      <c r="F26" s="52">
        <v>2351</v>
      </c>
      <c r="G26" s="52">
        <v>3506</v>
      </c>
      <c r="H26" s="52">
        <v>4062</v>
      </c>
      <c r="I26" s="52">
        <v>5074</v>
      </c>
      <c r="J26" s="52">
        <v>5354</v>
      </c>
      <c r="K26" s="52">
        <v>7986</v>
      </c>
    </row>
    <row r="27" spans="1:11" ht="15" customHeight="1" x14ac:dyDescent="0.2">
      <c r="B27" s="54"/>
      <c r="C27" s="54"/>
      <c r="D27" s="54"/>
      <c r="E27" s="54"/>
      <c r="F27" s="54"/>
      <c r="G27" s="54"/>
      <c r="H27" s="54"/>
      <c r="I27" s="54"/>
      <c r="J27" s="54"/>
      <c r="K27" s="54"/>
    </row>
    <row r="28" spans="1:11" ht="15" customHeight="1" x14ac:dyDescent="0.2">
      <c r="A28" s="111" t="s">
        <v>203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</row>
    <row r="29" spans="1:11" ht="15" customHeight="1" x14ac:dyDescent="0.2">
      <c r="A29" s="61" t="s">
        <v>204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</row>
    <row r="30" spans="1:11" ht="15" customHeight="1" x14ac:dyDescent="0.2">
      <c r="A30" s="61" t="s">
        <v>205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</row>
    <row r="31" spans="1:11" ht="15" customHeight="1" x14ac:dyDescent="0.2">
      <c r="A31" s="34" t="s">
        <v>206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15</v>
      </c>
      <c r="H31" s="50">
        <v>0</v>
      </c>
      <c r="I31" s="50">
        <v>30</v>
      </c>
      <c r="J31" s="50">
        <v>27</v>
      </c>
      <c r="K31" s="50">
        <v>125</v>
      </c>
    </row>
    <row r="32" spans="1:11" ht="15" customHeight="1" x14ac:dyDescent="0.2">
      <c r="A32" s="61" t="s">
        <v>207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3" spans="1:11" ht="15" customHeight="1" x14ac:dyDescent="0.2">
      <c r="A33" s="34" t="s">
        <v>208</v>
      </c>
      <c r="B33" s="50">
        <v>65</v>
      </c>
      <c r="C33" s="50">
        <v>123</v>
      </c>
      <c r="D33" s="50">
        <v>114</v>
      </c>
      <c r="E33" s="50">
        <v>125</v>
      </c>
      <c r="F33" s="50">
        <v>105</v>
      </c>
      <c r="G33" s="50">
        <v>109</v>
      </c>
      <c r="H33" s="50">
        <v>168</v>
      </c>
      <c r="I33" s="50">
        <v>295</v>
      </c>
      <c r="J33" s="50">
        <v>299</v>
      </c>
      <c r="K33" s="50">
        <v>440</v>
      </c>
    </row>
    <row r="34" spans="1:11" ht="15" customHeight="1" x14ac:dyDescent="0.2">
      <c r="A34" s="34" t="s">
        <v>209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</row>
    <row r="35" spans="1:11" ht="15" customHeight="1" x14ac:dyDescent="0.2">
      <c r="A35" s="51" t="s">
        <v>210</v>
      </c>
      <c r="B35" s="52">
        <v>65</v>
      </c>
      <c r="C35" s="52">
        <v>123</v>
      </c>
      <c r="D35" s="52">
        <v>114</v>
      </c>
      <c r="E35" s="52">
        <v>125</v>
      </c>
      <c r="F35" s="52">
        <v>105</v>
      </c>
      <c r="G35" s="52">
        <v>109</v>
      </c>
      <c r="H35" s="52">
        <v>168</v>
      </c>
      <c r="I35" s="52">
        <v>295</v>
      </c>
      <c r="J35" s="52">
        <v>299</v>
      </c>
      <c r="K35" s="52">
        <v>440</v>
      </c>
    </row>
    <row r="36" spans="1:11" ht="15" customHeight="1" x14ac:dyDescent="0.2">
      <c r="A36" s="34" t="s">
        <v>211</v>
      </c>
      <c r="B36" s="50">
        <v>12</v>
      </c>
      <c r="C36" s="50">
        <v>34</v>
      </c>
      <c r="D36" s="50">
        <v>38</v>
      </c>
      <c r="E36" s="50">
        <v>17</v>
      </c>
      <c r="F36" s="50">
        <v>24</v>
      </c>
      <c r="G36" s="50">
        <v>22</v>
      </c>
      <c r="H36" s="50">
        <v>31</v>
      </c>
      <c r="I36" s="50">
        <v>62</v>
      </c>
      <c r="J36" s="50">
        <v>79</v>
      </c>
      <c r="K36" s="50">
        <v>78</v>
      </c>
    </row>
    <row r="37" spans="1:11" ht="15" customHeight="1" x14ac:dyDescent="0.2">
      <c r="A37" s="61" t="s">
        <v>212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</row>
    <row r="38" spans="1:11" ht="15" customHeight="1" x14ac:dyDescent="0.2">
      <c r="A38" s="34" t="s">
        <v>209</v>
      </c>
      <c r="B38" s="50">
        <v>0</v>
      </c>
      <c r="C38" s="50">
        <v>0</v>
      </c>
      <c r="D38" s="50">
        <v>0</v>
      </c>
      <c r="E38" s="50">
        <v>0</v>
      </c>
      <c r="F38" s="50">
        <v>0</v>
      </c>
      <c r="G38" s="50">
        <v>2</v>
      </c>
      <c r="H38" s="50">
        <v>0</v>
      </c>
      <c r="I38" s="50">
        <v>8</v>
      </c>
      <c r="J38" s="50">
        <v>9</v>
      </c>
      <c r="K38" s="50">
        <v>1</v>
      </c>
    </row>
    <row r="39" spans="1:11" ht="15" customHeight="1" x14ac:dyDescent="0.2">
      <c r="A39" s="34" t="s">
        <v>208</v>
      </c>
      <c r="B39" s="50">
        <v>7</v>
      </c>
      <c r="C39" s="50">
        <v>3</v>
      </c>
      <c r="D39" s="50">
        <v>4</v>
      </c>
      <c r="E39" s="50">
        <v>11</v>
      </c>
      <c r="F39" s="50">
        <v>15</v>
      </c>
      <c r="G39" s="50">
        <v>12</v>
      </c>
      <c r="H39" s="50">
        <v>8</v>
      </c>
      <c r="I39" s="50">
        <v>19</v>
      </c>
      <c r="J39" s="50">
        <v>8</v>
      </c>
      <c r="K39" s="50">
        <v>11</v>
      </c>
    </row>
    <row r="40" spans="1:11" ht="15" customHeight="1" x14ac:dyDescent="0.2">
      <c r="A40" s="51" t="s">
        <v>213</v>
      </c>
      <c r="B40" s="52">
        <v>7</v>
      </c>
      <c r="C40" s="52">
        <v>3</v>
      </c>
      <c r="D40" s="52">
        <v>4</v>
      </c>
      <c r="E40" s="52">
        <v>11</v>
      </c>
      <c r="F40" s="52">
        <v>15</v>
      </c>
      <c r="G40" s="52">
        <v>14</v>
      </c>
      <c r="H40" s="52">
        <v>8</v>
      </c>
      <c r="I40" s="52">
        <v>27</v>
      </c>
      <c r="J40" s="52">
        <v>17</v>
      </c>
      <c r="K40" s="52">
        <v>13</v>
      </c>
    </row>
    <row r="41" spans="1:11" ht="15" customHeight="1" x14ac:dyDescent="0.2">
      <c r="A41" s="34" t="s">
        <v>214</v>
      </c>
      <c r="B41" s="50">
        <v>3</v>
      </c>
      <c r="C41" s="50">
        <v>3</v>
      </c>
      <c r="D41" s="50">
        <v>2</v>
      </c>
      <c r="E41" s="50">
        <v>2</v>
      </c>
      <c r="F41" s="50">
        <v>3</v>
      </c>
      <c r="G41" s="50">
        <v>6</v>
      </c>
      <c r="H41" s="50">
        <v>12</v>
      </c>
      <c r="I41" s="50">
        <v>36</v>
      </c>
      <c r="J41" s="50">
        <v>80</v>
      </c>
      <c r="K41" s="50">
        <v>144</v>
      </c>
    </row>
    <row r="42" spans="1:11" ht="15" customHeight="1" x14ac:dyDescent="0.2">
      <c r="A42" s="34" t="s">
        <v>215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</row>
    <row r="43" spans="1:11" ht="15" customHeight="1" x14ac:dyDescent="0.2">
      <c r="A43" s="61" t="s">
        <v>216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</row>
    <row r="44" spans="1:11" ht="15" customHeight="1" x14ac:dyDescent="0.2">
      <c r="A44" s="34" t="s">
        <v>217</v>
      </c>
      <c r="B44" s="50">
        <v>207</v>
      </c>
      <c r="C44" s="50">
        <v>102</v>
      </c>
      <c r="D44" s="50">
        <v>94</v>
      </c>
      <c r="E44" s="50">
        <v>167</v>
      </c>
      <c r="F44" s="50">
        <v>155</v>
      </c>
      <c r="G44" s="50">
        <v>110</v>
      </c>
      <c r="H44" s="50">
        <v>183</v>
      </c>
      <c r="I44" s="50">
        <v>400</v>
      </c>
      <c r="J44" s="50">
        <v>350</v>
      </c>
      <c r="K44" s="50">
        <v>582</v>
      </c>
    </row>
    <row r="45" spans="1:11" ht="15" customHeight="1" x14ac:dyDescent="0.2">
      <c r="A45" s="34" t="s">
        <v>218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5</v>
      </c>
      <c r="I45" s="50">
        <v>2</v>
      </c>
      <c r="J45" s="50">
        <v>2</v>
      </c>
      <c r="K45" s="50">
        <v>0</v>
      </c>
    </row>
    <row r="46" spans="1:11" ht="15" customHeight="1" x14ac:dyDescent="0.2">
      <c r="A46" s="34" t="s">
        <v>219</v>
      </c>
      <c r="B46" s="50">
        <v>1</v>
      </c>
      <c r="C46" s="50">
        <v>2</v>
      </c>
      <c r="D46" s="50">
        <v>3</v>
      </c>
      <c r="E46" s="50">
        <v>1</v>
      </c>
      <c r="F46" s="50">
        <v>1</v>
      </c>
      <c r="G46" s="50">
        <v>1</v>
      </c>
      <c r="H46" s="50">
        <v>3</v>
      </c>
      <c r="I46" s="50">
        <v>7</v>
      </c>
      <c r="J46" s="50">
        <v>11</v>
      </c>
      <c r="K46" s="50">
        <v>15</v>
      </c>
    </row>
    <row r="47" spans="1:11" ht="15" customHeight="1" x14ac:dyDescent="0.2">
      <c r="A47" s="34" t="s">
        <v>220</v>
      </c>
      <c r="B47" s="50">
        <v>0</v>
      </c>
      <c r="C47" s="50">
        <v>0</v>
      </c>
      <c r="D47" s="50">
        <v>0</v>
      </c>
      <c r="E47" s="50">
        <v>0</v>
      </c>
      <c r="F47" s="50">
        <v>0</v>
      </c>
      <c r="G47" s="50">
        <v>1</v>
      </c>
      <c r="H47" s="50">
        <v>5</v>
      </c>
      <c r="I47" s="50">
        <v>3</v>
      </c>
      <c r="J47" s="50">
        <v>9</v>
      </c>
      <c r="K47" s="50">
        <v>10</v>
      </c>
    </row>
    <row r="48" spans="1:11" ht="15" customHeight="1" x14ac:dyDescent="0.2">
      <c r="A48" s="51" t="s">
        <v>221</v>
      </c>
      <c r="B48" s="52">
        <v>208</v>
      </c>
      <c r="C48" s="52">
        <v>104</v>
      </c>
      <c r="D48" s="52">
        <v>97</v>
      </c>
      <c r="E48" s="52">
        <v>168</v>
      </c>
      <c r="F48" s="52">
        <v>156</v>
      </c>
      <c r="G48" s="52">
        <v>111</v>
      </c>
      <c r="H48" s="52">
        <v>196</v>
      </c>
      <c r="I48" s="52">
        <v>412</v>
      </c>
      <c r="J48" s="52">
        <v>372</v>
      </c>
      <c r="K48" s="52">
        <v>607</v>
      </c>
    </row>
    <row r="49" spans="1:11" ht="15" customHeight="1" x14ac:dyDescent="0.2">
      <c r="A49" s="34" t="s">
        <v>222</v>
      </c>
      <c r="B49" s="50">
        <v>9</v>
      </c>
      <c r="C49" s="50">
        <v>26</v>
      </c>
      <c r="D49" s="50">
        <v>4</v>
      </c>
      <c r="E49" s="50">
        <v>5</v>
      </c>
      <c r="F49" s="50">
        <v>6</v>
      </c>
      <c r="G49" s="50">
        <v>5</v>
      </c>
      <c r="H49" s="50">
        <v>6</v>
      </c>
      <c r="I49" s="50">
        <v>8</v>
      </c>
      <c r="J49" s="50">
        <v>70</v>
      </c>
      <c r="K49" s="50">
        <v>187</v>
      </c>
    </row>
    <row r="50" spans="1:11" ht="15" customHeight="1" x14ac:dyDescent="0.2">
      <c r="A50" s="51" t="s">
        <v>223</v>
      </c>
      <c r="B50" s="52">
        <v>303</v>
      </c>
      <c r="C50" s="52">
        <v>294</v>
      </c>
      <c r="D50" s="52">
        <v>258</v>
      </c>
      <c r="E50" s="52">
        <v>327</v>
      </c>
      <c r="F50" s="52">
        <v>308</v>
      </c>
      <c r="G50" s="52">
        <v>281</v>
      </c>
      <c r="H50" s="52">
        <v>421</v>
      </c>
      <c r="I50" s="52">
        <v>870</v>
      </c>
      <c r="J50" s="52">
        <v>944</v>
      </c>
      <c r="K50" s="52">
        <v>1594</v>
      </c>
    </row>
    <row r="51" spans="1:11" ht="15" customHeight="1" x14ac:dyDescent="0.2"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spans="1:11" ht="15" customHeight="1" x14ac:dyDescent="0.2">
      <c r="A52" s="61" t="s">
        <v>224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</row>
    <row r="53" spans="1:11" ht="15" customHeight="1" x14ac:dyDescent="0.2">
      <c r="A53" s="34" t="s">
        <v>225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</row>
    <row r="54" spans="1:11" ht="15" customHeight="1" x14ac:dyDescent="0.2">
      <c r="A54" s="61" t="s">
        <v>226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</row>
    <row r="55" spans="1:11" ht="15" customHeight="1" x14ac:dyDescent="0.2">
      <c r="A55" s="34" t="s">
        <v>217</v>
      </c>
      <c r="B55" s="50">
        <v>395</v>
      </c>
      <c r="C55" s="50">
        <v>93</v>
      </c>
      <c r="D55" s="50">
        <v>579</v>
      </c>
      <c r="E55" s="50">
        <v>452</v>
      </c>
      <c r="F55" s="50">
        <v>278</v>
      </c>
      <c r="G55" s="50">
        <v>1409</v>
      </c>
      <c r="H55" s="50">
        <v>1526</v>
      </c>
      <c r="I55" s="50">
        <v>1648</v>
      </c>
      <c r="J55" s="50">
        <v>1437</v>
      </c>
      <c r="K55" s="50">
        <v>1809</v>
      </c>
    </row>
    <row r="56" spans="1:11" ht="15" customHeight="1" x14ac:dyDescent="0.2">
      <c r="A56" s="34" t="s">
        <v>218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8</v>
      </c>
      <c r="I56" s="50">
        <v>0</v>
      </c>
      <c r="J56" s="50">
        <v>1</v>
      </c>
      <c r="K56" s="50">
        <v>0</v>
      </c>
    </row>
    <row r="57" spans="1:11" ht="15" customHeight="1" x14ac:dyDescent="0.2">
      <c r="A57" s="34" t="s">
        <v>219</v>
      </c>
      <c r="B57" s="50">
        <v>1</v>
      </c>
      <c r="C57" s="50">
        <v>3</v>
      </c>
      <c r="D57" s="50">
        <v>3</v>
      </c>
      <c r="E57" s="50">
        <v>2</v>
      </c>
      <c r="F57" s="50">
        <v>5</v>
      </c>
      <c r="G57" s="50">
        <v>2</v>
      </c>
      <c r="H57" s="50">
        <v>8</v>
      </c>
      <c r="I57" s="50">
        <v>13</v>
      </c>
      <c r="J57" s="50">
        <v>20</v>
      </c>
      <c r="K57" s="50">
        <v>16</v>
      </c>
    </row>
    <row r="58" spans="1:11" ht="15" customHeight="1" x14ac:dyDescent="0.2">
      <c r="A58" s="34" t="s">
        <v>220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5</v>
      </c>
      <c r="H58" s="50">
        <v>5</v>
      </c>
      <c r="I58" s="50">
        <v>4</v>
      </c>
      <c r="J58" s="50">
        <v>6</v>
      </c>
      <c r="K58" s="50">
        <v>10</v>
      </c>
    </row>
    <row r="59" spans="1:11" ht="15" customHeight="1" x14ac:dyDescent="0.2">
      <c r="A59" s="51" t="s">
        <v>227</v>
      </c>
      <c r="B59" s="52">
        <v>396</v>
      </c>
      <c r="C59" s="52">
        <v>96</v>
      </c>
      <c r="D59" s="52">
        <v>582</v>
      </c>
      <c r="E59" s="52">
        <v>454</v>
      </c>
      <c r="F59" s="52">
        <v>283</v>
      </c>
      <c r="G59" s="52">
        <v>1416</v>
      </c>
      <c r="H59" s="52">
        <v>1546</v>
      </c>
      <c r="I59" s="52">
        <v>1664</v>
      </c>
      <c r="J59" s="52">
        <v>1464</v>
      </c>
      <c r="K59" s="52">
        <v>1835</v>
      </c>
    </row>
    <row r="60" spans="1:11" ht="15" customHeight="1" x14ac:dyDescent="0.2">
      <c r="A60" s="34" t="s">
        <v>228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</row>
    <row r="61" spans="1:11" ht="15" customHeight="1" x14ac:dyDescent="0.2">
      <c r="A61" s="34" t="s">
        <v>229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</row>
    <row r="62" spans="1:11" ht="15" customHeight="1" x14ac:dyDescent="0.2">
      <c r="A62" s="34" t="s">
        <v>230</v>
      </c>
      <c r="B62" s="50">
        <v>23</v>
      </c>
      <c r="C62" s="50">
        <v>21</v>
      </c>
      <c r="D62" s="50">
        <v>19</v>
      </c>
      <c r="E62" s="50">
        <v>22</v>
      </c>
      <c r="F62" s="50">
        <v>22</v>
      </c>
      <c r="G62" s="50">
        <v>23</v>
      </c>
      <c r="H62" s="50">
        <v>20</v>
      </c>
      <c r="I62" s="50">
        <v>154</v>
      </c>
      <c r="J62" s="50">
        <v>169</v>
      </c>
      <c r="K62" s="50">
        <v>278</v>
      </c>
    </row>
    <row r="63" spans="1:11" ht="15" customHeight="1" x14ac:dyDescent="0.2">
      <c r="A63" s="51" t="s">
        <v>231</v>
      </c>
      <c r="B63" s="52">
        <v>419</v>
      </c>
      <c r="C63" s="52">
        <v>117</v>
      </c>
      <c r="D63" s="52">
        <v>601</v>
      </c>
      <c r="E63" s="52">
        <v>476</v>
      </c>
      <c r="F63" s="52">
        <v>305</v>
      </c>
      <c r="G63" s="52">
        <v>1439</v>
      </c>
      <c r="H63" s="52">
        <v>1566</v>
      </c>
      <c r="I63" s="52">
        <v>1818</v>
      </c>
      <c r="J63" s="52">
        <v>1633</v>
      </c>
      <c r="K63" s="52">
        <v>2113</v>
      </c>
    </row>
    <row r="64" spans="1:11" ht="15" customHeight="1" x14ac:dyDescent="0.2">
      <c r="B64" s="54"/>
      <c r="C64" s="54"/>
      <c r="D64" s="54"/>
      <c r="E64" s="54"/>
      <c r="F64" s="54"/>
      <c r="G64" s="54"/>
      <c r="H64" s="54"/>
      <c r="I64" s="54"/>
      <c r="J64" s="54"/>
      <c r="K64" s="54"/>
    </row>
    <row r="65" spans="1:11" ht="15" customHeight="1" x14ac:dyDescent="0.2">
      <c r="A65" s="51" t="s">
        <v>232</v>
      </c>
      <c r="B65" s="52">
        <v>722</v>
      </c>
      <c r="C65" s="52">
        <v>410</v>
      </c>
      <c r="D65" s="52">
        <v>859</v>
      </c>
      <c r="E65" s="52">
        <v>803</v>
      </c>
      <c r="F65" s="52">
        <v>612</v>
      </c>
      <c r="G65" s="52">
        <v>1720</v>
      </c>
      <c r="H65" s="52">
        <v>1987</v>
      </c>
      <c r="I65" s="52">
        <v>2688</v>
      </c>
      <c r="J65" s="52">
        <v>2577</v>
      </c>
      <c r="K65" s="52">
        <v>3707</v>
      </c>
    </row>
    <row r="66" spans="1:11" ht="15" customHeight="1" x14ac:dyDescent="0.2">
      <c r="B66" s="54"/>
      <c r="C66" s="54"/>
      <c r="D66" s="54"/>
      <c r="E66" s="54"/>
      <c r="F66" s="54"/>
      <c r="G66" s="54"/>
      <c r="H66" s="54"/>
      <c r="I66" s="54"/>
      <c r="J66" s="54"/>
      <c r="K66" s="54"/>
    </row>
    <row r="67" spans="1:11" ht="15" customHeight="1" x14ac:dyDescent="0.2">
      <c r="A67" s="61" t="s">
        <v>233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</row>
    <row r="68" spans="1:11" ht="15" customHeight="1" x14ac:dyDescent="0.2">
      <c r="A68" s="34" t="s">
        <v>234</v>
      </c>
      <c r="B68" s="50">
        <v>142</v>
      </c>
      <c r="C68" s="50">
        <v>143</v>
      </c>
      <c r="D68" s="50">
        <v>159</v>
      </c>
      <c r="E68" s="50">
        <v>152</v>
      </c>
      <c r="F68" s="50">
        <v>155</v>
      </c>
      <c r="G68" s="50">
        <v>157</v>
      </c>
      <c r="H68" s="50">
        <v>171</v>
      </c>
      <c r="I68" s="50">
        <v>169</v>
      </c>
      <c r="J68" s="50">
        <v>177</v>
      </c>
      <c r="K68" s="50">
        <v>183</v>
      </c>
    </row>
    <row r="69" spans="1:11" ht="15" customHeight="1" x14ac:dyDescent="0.2">
      <c r="A69" s="34" t="s">
        <v>235</v>
      </c>
      <c r="B69" s="50">
        <v>286</v>
      </c>
      <c r="C69" s="50">
        <v>288</v>
      </c>
      <c r="D69" s="50">
        <v>336</v>
      </c>
      <c r="E69" s="50">
        <v>323</v>
      </c>
      <c r="F69" s="50">
        <v>327</v>
      </c>
      <c r="G69" s="50">
        <v>331</v>
      </c>
      <c r="H69" s="50">
        <v>362</v>
      </c>
      <c r="I69" s="50">
        <v>359</v>
      </c>
      <c r="J69" s="50">
        <v>375</v>
      </c>
      <c r="K69" s="50">
        <v>538</v>
      </c>
    </row>
    <row r="70" spans="1:11" ht="15" customHeight="1" x14ac:dyDescent="0.2">
      <c r="A70" s="61" t="s">
        <v>236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</row>
    <row r="71" spans="1:11" ht="15" customHeight="1" x14ac:dyDescent="0.2">
      <c r="A71" s="34" t="s">
        <v>237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3</v>
      </c>
    </row>
    <row r="72" spans="1:11" ht="15" customHeight="1" x14ac:dyDescent="0.2">
      <c r="A72" s="34" t="s">
        <v>238</v>
      </c>
      <c r="B72" s="50">
        <v>412</v>
      </c>
      <c r="C72" s="50">
        <v>557</v>
      </c>
      <c r="D72" s="50">
        <v>740</v>
      </c>
      <c r="E72" s="50">
        <v>842</v>
      </c>
      <c r="F72" s="50">
        <v>852</v>
      </c>
      <c r="G72" s="50">
        <v>886</v>
      </c>
      <c r="H72" s="50">
        <v>1074</v>
      </c>
      <c r="I72" s="50">
        <v>1388</v>
      </c>
      <c r="J72" s="50">
        <v>1703</v>
      </c>
      <c r="K72" s="50">
        <v>1854</v>
      </c>
    </row>
    <row r="73" spans="1:11" ht="15" customHeight="1" x14ac:dyDescent="0.2">
      <c r="A73" s="51" t="s">
        <v>239</v>
      </c>
      <c r="B73" s="52">
        <v>412</v>
      </c>
      <c r="C73" s="52">
        <v>557</v>
      </c>
      <c r="D73" s="52">
        <v>740</v>
      </c>
      <c r="E73" s="52">
        <v>842</v>
      </c>
      <c r="F73" s="52">
        <v>852</v>
      </c>
      <c r="G73" s="52">
        <v>886</v>
      </c>
      <c r="H73" s="52">
        <v>1075</v>
      </c>
      <c r="I73" s="52">
        <v>1388</v>
      </c>
      <c r="J73" s="52">
        <v>1704</v>
      </c>
      <c r="K73" s="52">
        <v>1858</v>
      </c>
    </row>
    <row r="74" spans="1:11" ht="15" customHeight="1" x14ac:dyDescent="0.2">
      <c r="A74" s="34" t="s">
        <v>165</v>
      </c>
      <c r="B74" s="50">
        <v>0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</row>
    <row r="75" spans="1:11" ht="15" customHeight="1" x14ac:dyDescent="0.2">
      <c r="A75" s="34" t="s">
        <v>240</v>
      </c>
      <c r="B75" s="50">
        <v>303</v>
      </c>
      <c r="C75" s="50">
        <v>554</v>
      </c>
      <c r="D75" s="50">
        <v>579</v>
      </c>
      <c r="E75" s="50">
        <v>299</v>
      </c>
      <c r="F75" s="50">
        <v>315</v>
      </c>
      <c r="G75" s="50">
        <v>333</v>
      </c>
      <c r="H75" s="50">
        <v>381</v>
      </c>
      <c r="I75" s="50">
        <v>385</v>
      </c>
      <c r="J75" s="50">
        <v>432</v>
      </c>
      <c r="K75" s="50">
        <v>716</v>
      </c>
    </row>
    <row r="76" spans="1:11" ht="15" customHeight="1" x14ac:dyDescent="0.2">
      <c r="A76" s="34" t="s">
        <v>241</v>
      </c>
      <c r="B76" s="50">
        <v>87</v>
      </c>
      <c r="C76" s="50">
        <v>86</v>
      </c>
      <c r="D76" s="50">
        <v>94</v>
      </c>
      <c r="E76" s="50">
        <v>89</v>
      </c>
      <c r="F76" s="50">
        <v>90</v>
      </c>
      <c r="G76" s="50">
        <v>79</v>
      </c>
      <c r="H76" s="50">
        <v>86</v>
      </c>
      <c r="I76" s="50">
        <v>85</v>
      </c>
      <c r="J76" s="50">
        <v>89</v>
      </c>
      <c r="K76" s="50">
        <v>985</v>
      </c>
    </row>
    <row r="77" spans="1:11" ht="15" customHeight="1" x14ac:dyDescent="0.2">
      <c r="A77" s="51" t="s">
        <v>242</v>
      </c>
      <c r="B77" s="52">
        <v>1229</v>
      </c>
      <c r="C77" s="52">
        <v>1629</v>
      </c>
      <c r="D77" s="52">
        <v>1908</v>
      </c>
      <c r="E77" s="52">
        <v>1706</v>
      </c>
      <c r="F77" s="52">
        <v>1738</v>
      </c>
      <c r="G77" s="52">
        <v>1786</v>
      </c>
      <c r="H77" s="52">
        <v>2075</v>
      </c>
      <c r="I77" s="52">
        <v>2386</v>
      </c>
      <c r="J77" s="52">
        <v>2777</v>
      </c>
      <c r="K77" s="52">
        <v>4279</v>
      </c>
    </row>
    <row r="78" spans="1:11" ht="15" customHeight="1" x14ac:dyDescent="0.2">
      <c r="B78" s="54"/>
      <c r="C78" s="54"/>
      <c r="D78" s="54"/>
      <c r="E78" s="54"/>
      <c r="F78" s="54"/>
      <c r="G78" s="54"/>
      <c r="H78" s="54"/>
      <c r="I78" s="54"/>
      <c r="J78" s="54"/>
      <c r="K78" s="54"/>
    </row>
    <row r="79" spans="1:11" ht="15" customHeight="1" x14ac:dyDescent="0.2">
      <c r="A79" s="51" t="s">
        <v>243</v>
      </c>
      <c r="B79" s="52">
        <v>1951</v>
      </c>
      <c r="C79" s="52">
        <v>2039</v>
      </c>
      <c r="D79" s="52">
        <v>2767</v>
      </c>
      <c r="E79" s="52">
        <v>2508</v>
      </c>
      <c r="F79" s="52">
        <v>2351</v>
      </c>
      <c r="G79" s="52">
        <v>3506</v>
      </c>
      <c r="H79" s="52">
        <v>4062</v>
      </c>
      <c r="I79" s="52">
        <v>5074</v>
      </c>
      <c r="J79" s="52">
        <v>5354</v>
      </c>
      <c r="K79" s="52">
        <v>7986</v>
      </c>
    </row>
    <row r="80" spans="1:11" ht="15" customHeight="1" x14ac:dyDescent="0.2">
      <c r="B80" s="54"/>
      <c r="C80" s="54"/>
      <c r="D80" s="54"/>
      <c r="E80" s="54"/>
      <c r="F80" s="54"/>
      <c r="G80" s="54"/>
      <c r="H80" s="54"/>
      <c r="I80" s="54"/>
      <c r="J80" s="54"/>
      <c r="K80" s="54"/>
    </row>
    <row r="81" spans="1:11" ht="15" customHeight="1" x14ac:dyDescent="0.2">
      <c r="A81" s="34" t="s">
        <v>244</v>
      </c>
      <c r="B81" s="50">
        <v>4</v>
      </c>
      <c r="C81" s="50">
        <v>4</v>
      </c>
      <c r="D81" s="50">
        <v>4</v>
      </c>
      <c r="E81" s="50">
        <v>4</v>
      </c>
      <c r="F81" s="50">
        <v>4</v>
      </c>
      <c r="G81" s="50">
        <v>4</v>
      </c>
      <c r="H81" s="50">
        <v>4</v>
      </c>
      <c r="I81" s="50">
        <v>4</v>
      </c>
      <c r="J81" s="50">
        <v>4</v>
      </c>
      <c r="K81" s="50">
        <v>4</v>
      </c>
    </row>
    <row r="83" spans="1:11" ht="15" customHeight="1" x14ac:dyDescent="0.2">
      <c r="A83" s="63" t="s">
        <v>245</v>
      </c>
      <c r="B83" s="64">
        <f t="shared" ref="B83:K83" si="0">B26-B79</f>
        <v>0</v>
      </c>
      <c r="C83" s="64">
        <f t="shared" si="0"/>
        <v>0</v>
      </c>
      <c r="D83" s="64">
        <f t="shared" si="0"/>
        <v>0</v>
      </c>
      <c r="E83" s="64">
        <f t="shared" si="0"/>
        <v>0</v>
      </c>
      <c r="F83" s="64">
        <f t="shared" si="0"/>
        <v>0</v>
      </c>
      <c r="G83" s="64">
        <f t="shared" si="0"/>
        <v>0</v>
      </c>
      <c r="H83" s="64">
        <f t="shared" si="0"/>
        <v>0</v>
      </c>
      <c r="I83" s="64">
        <f t="shared" si="0"/>
        <v>0</v>
      </c>
      <c r="J83" s="64">
        <f t="shared" si="0"/>
        <v>0</v>
      </c>
      <c r="K83" s="64">
        <f t="shared" si="0"/>
        <v>0</v>
      </c>
    </row>
    <row r="85" spans="1:11" ht="15" customHeight="1" x14ac:dyDescent="0.2">
      <c r="A85" s="65"/>
    </row>
    <row r="86" spans="1:11" ht="15" customHeight="1" x14ac:dyDescent="0.2">
      <c r="A86" s="60"/>
    </row>
    <row r="87" spans="1:11" ht="15" customHeight="1" x14ac:dyDescent="0.2">
      <c r="A87" s="60"/>
    </row>
    <row r="88" spans="1:11" ht="15" customHeight="1" x14ac:dyDescent="0.2">
      <c r="A88" s="60"/>
    </row>
    <row r="89" spans="1:11" ht="15" customHeight="1" x14ac:dyDescent="0.2">
      <c r="A89" s="60"/>
    </row>
  </sheetData>
  <mergeCells count="4">
    <mergeCell ref="A1:K1"/>
    <mergeCell ref="A2:K2"/>
    <mergeCell ref="A5:K5"/>
    <mergeCell ref="A28:K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6" customWidth="1"/>
    <col min="2" max="2" width="12" customWidth="1"/>
  </cols>
  <sheetData>
    <row r="1" spans="1:11" ht="24" customHeight="1" x14ac:dyDescent="0.2">
      <c r="A1" s="102" t="s">
        <v>246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8" customHeight="1" x14ac:dyDescent="0.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1" ht="18" customHeight="1" x14ac:dyDescent="0.2">
      <c r="A4" s="3" t="s">
        <v>1</v>
      </c>
      <c r="B4" s="4" t="s">
        <v>11</v>
      </c>
      <c r="C4" s="4" t="s">
        <v>10</v>
      </c>
      <c r="D4" s="4" t="s">
        <v>9</v>
      </c>
      <c r="E4" s="4" t="s">
        <v>8</v>
      </c>
      <c r="F4" s="4" t="s">
        <v>7</v>
      </c>
      <c r="G4" s="4" t="s">
        <v>6</v>
      </c>
      <c r="H4" s="4" t="s">
        <v>5</v>
      </c>
      <c r="I4" s="4" t="s">
        <v>4</v>
      </c>
      <c r="J4" s="4" t="s">
        <v>3</v>
      </c>
      <c r="K4" s="4" t="s">
        <v>2</v>
      </c>
    </row>
    <row r="5" spans="1:11" ht="19.5" customHeight="1" x14ac:dyDescent="0.2">
      <c r="A5" s="66" t="s">
        <v>247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15" customHeight="1" x14ac:dyDescent="0.2">
      <c r="A6" s="7" t="s">
        <v>248</v>
      </c>
      <c r="B6" s="68">
        <v>4480</v>
      </c>
      <c r="C6" s="68">
        <v>4128</v>
      </c>
      <c r="D6" s="68">
        <v>2916</v>
      </c>
      <c r="E6" s="68">
        <v>1913</v>
      </c>
      <c r="F6" s="68">
        <v>1385</v>
      </c>
      <c r="G6" s="68">
        <v>1461</v>
      </c>
      <c r="H6" s="68">
        <v>1684</v>
      </c>
      <c r="I6" s="68">
        <v>1849</v>
      </c>
      <c r="J6" s="68">
        <v>1899</v>
      </c>
      <c r="K6" s="68">
        <v>2528</v>
      </c>
    </row>
    <row r="7" spans="1:11" ht="15" customHeight="1" x14ac:dyDescent="0.2">
      <c r="A7" s="7" t="s">
        <v>249</v>
      </c>
      <c r="B7" s="68">
        <v>0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</row>
    <row r="8" spans="1:11" ht="15" customHeight="1" x14ac:dyDescent="0.2">
      <c r="A8" s="7" t="s">
        <v>250</v>
      </c>
      <c r="B8" s="68">
        <v>0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</row>
    <row r="9" spans="1:11" ht="15" customHeight="1" x14ac:dyDescent="0.2">
      <c r="A9" s="69" t="s">
        <v>251</v>
      </c>
      <c r="B9" s="70"/>
      <c r="C9" s="70"/>
      <c r="D9" s="70"/>
      <c r="E9" s="70"/>
      <c r="F9" s="70"/>
      <c r="G9" s="70"/>
      <c r="H9" s="70"/>
      <c r="I9" s="70"/>
      <c r="J9" s="70"/>
      <c r="K9" s="70"/>
    </row>
    <row r="10" spans="1:11" ht="15" customHeight="1" x14ac:dyDescent="0.2">
      <c r="A10" s="71" t="s">
        <v>252</v>
      </c>
      <c r="B10" s="68">
        <v>0</v>
      </c>
      <c r="C10" s="68">
        <v>0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</row>
    <row r="11" spans="1:11" ht="15" customHeight="1" x14ac:dyDescent="0.2">
      <c r="A11" s="71" t="s">
        <v>253</v>
      </c>
      <c r="B11" s="68">
        <v>0</v>
      </c>
      <c r="C11" s="68">
        <v>0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</row>
    <row r="12" spans="1:11" ht="15" customHeight="1" x14ac:dyDescent="0.2">
      <c r="A12" s="72" t="s">
        <v>254</v>
      </c>
      <c r="B12" s="73">
        <v>-3104</v>
      </c>
      <c r="C12" s="73">
        <v>-3041</v>
      </c>
      <c r="D12" s="73">
        <v>-1957</v>
      </c>
      <c r="E12" s="73">
        <v>-1567</v>
      </c>
      <c r="F12" s="73">
        <v>-1207</v>
      </c>
      <c r="G12" s="73">
        <v>-1173</v>
      </c>
      <c r="H12" s="73">
        <v>-1547</v>
      </c>
      <c r="I12" s="73">
        <v>-1536</v>
      </c>
      <c r="J12" s="73">
        <v>-1916</v>
      </c>
      <c r="K12" s="73">
        <v>-2286</v>
      </c>
    </row>
    <row r="13" spans="1:11" ht="15" customHeight="1" x14ac:dyDescent="0.2">
      <c r="A13" s="7" t="s">
        <v>255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</row>
    <row r="14" spans="1:11" ht="15" customHeight="1" x14ac:dyDescent="0.2">
      <c r="A14" s="7" t="s">
        <v>256</v>
      </c>
      <c r="B14" s="68">
        <v>-153</v>
      </c>
      <c r="C14" s="68">
        <v>-153</v>
      </c>
      <c r="D14" s="68">
        <v>-126</v>
      </c>
      <c r="E14" s="68">
        <v>-101</v>
      </c>
      <c r="F14" s="68">
        <v>-75</v>
      </c>
      <c r="G14" s="68">
        <v>-31</v>
      </c>
      <c r="H14" s="68">
        <v>-29</v>
      </c>
      <c r="I14" s="68">
        <v>-80</v>
      </c>
      <c r="J14" s="68">
        <v>-34</v>
      </c>
      <c r="K14" s="68">
        <v>-39</v>
      </c>
    </row>
    <row r="15" spans="1:11" ht="15" customHeight="1" x14ac:dyDescent="0.2">
      <c r="A15" s="7" t="s">
        <v>257</v>
      </c>
      <c r="B15" s="68">
        <v>-258</v>
      </c>
      <c r="C15" s="68">
        <v>-201</v>
      </c>
      <c r="D15" s="68">
        <v>-182</v>
      </c>
      <c r="E15" s="68">
        <v>-42</v>
      </c>
      <c r="F15" s="68">
        <v>-38</v>
      </c>
      <c r="G15" s="68">
        <v>-23</v>
      </c>
      <c r="H15" s="68">
        <v>-69</v>
      </c>
      <c r="I15" s="68">
        <v>-75</v>
      </c>
      <c r="J15" s="68">
        <v>-64</v>
      </c>
      <c r="K15" s="68">
        <v>-49</v>
      </c>
    </row>
    <row r="16" spans="1:11" ht="15" customHeight="1" x14ac:dyDescent="0.2">
      <c r="A16" s="7" t="s">
        <v>258</v>
      </c>
      <c r="B16" s="68">
        <v>1</v>
      </c>
      <c r="C16" s="68">
        <v>4</v>
      </c>
      <c r="D16" s="68">
        <v>5</v>
      </c>
      <c r="E16" s="68">
        <v>9</v>
      </c>
      <c r="F16" s="68">
        <v>13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</row>
    <row r="17" spans="1:11" ht="15" customHeight="1" x14ac:dyDescent="0.2">
      <c r="A17" s="7" t="s">
        <v>259</v>
      </c>
      <c r="B17" s="68">
        <v>-83</v>
      </c>
      <c r="C17" s="68">
        <v>36</v>
      </c>
      <c r="D17" s="68">
        <v>18</v>
      </c>
      <c r="E17" s="68">
        <v>-28</v>
      </c>
      <c r="F17" s="68">
        <v>-129</v>
      </c>
      <c r="G17" s="68">
        <v>7</v>
      </c>
      <c r="H17" s="68">
        <v>27</v>
      </c>
      <c r="I17" s="68">
        <v>-4</v>
      </c>
      <c r="J17" s="68">
        <v>0</v>
      </c>
      <c r="K17" s="68">
        <v>-3</v>
      </c>
    </row>
    <row r="18" spans="1:11" ht="15" customHeight="1" x14ac:dyDescent="0.2">
      <c r="A18" s="74" t="s">
        <v>260</v>
      </c>
      <c r="B18" s="73">
        <f t="shared" ref="B18:K18" si="0">B6+B7+B8+B12+B13+B14+B15+B16+B17</f>
        <v>883</v>
      </c>
      <c r="C18" s="73">
        <f t="shared" si="0"/>
        <v>773</v>
      </c>
      <c r="D18" s="73">
        <f t="shared" si="0"/>
        <v>674</v>
      </c>
      <c r="E18" s="73">
        <f t="shared" si="0"/>
        <v>184</v>
      </c>
      <c r="F18" s="73">
        <f t="shared" si="0"/>
        <v>-51</v>
      </c>
      <c r="G18" s="73">
        <f t="shared" si="0"/>
        <v>241</v>
      </c>
      <c r="H18" s="73">
        <f t="shared" si="0"/>
        <v>66</v>
      </c>
      <c r="I18" s="73">
        <f t="shared" si="0"/>
        <v>154</v>
      </c>
      <c r="J18" s="73">
        <f t="shared" si="0"/>
        <v>-115</v>
      </c>
      <c r="K18" s="73">
        <f t="shared" si="0"/>
        <v>151</v>
      </c>
    </row>
    <row r="20" spans="1:11" ht="19.5" customHeight="1" x14ac:dyDescent="0.2">
      <c r="A20" s="66" t="s">
        <v>261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5" customHeight="1" x14ac:dyDescent="0.2">
      <c r="A21" s="7" t="s">
        <v>262</v>
      </c>
      <c r="B21" s="68">
        <v>-745</v>
      </c>
      <c r="C21" s="68">
        <v>-164</v>
      </c>
      <c r="D21" s="68">
        <v>-538</v>
      </c>
      <c r="E21" s="68">
        <v>-335</v>
      </c>
      <c r="F21" s="68">
        <v>-995</v>
      </c>
      <c r="G21" s="68">
        <v>-28</v>
      </c>
      <c r="H21" s="68">
        <v>-137</v>
      </c>
      <c r="I21" s="68">
        <v>-13</v>
      </c>
      <c r="J21" s="68">
        <v>-11</v>
      </c>
      <c r="K21" s="68">
        <v>-154</v>
      </c>
    </row>
    <row r="22" spans="1:11" ht="15" customHeight="1" x14ac:dyDescent="0.2">
      <c r="A22" s="7" t="s">
        <v>263</v>
      </c>
      <c r="B22" s="68">
        <v>7</v>
      </c>
      <c r="C22" s="68">
        <v>1</v>
      </c>
      <c r="D22" s="68">
        <v>9</v>
      </c>
      <c r="E22" s="68">
        <v>1</v>
      </c>
      <c r="F22" s="68">
        <v>1</v>
      </c>
      <c r="G22" s="68">
        <v>0</v>
      </c>
      <c r="H22" s="68">
        <v>1</v>
      </c>
      <c r="I22" s="68">
        <v>1</v>
      </c>
      <c r="J22" s="68">
        <v>0</v>
      </c>
      <c r="K22" s="68">
        <v>1</v>
      </c>
    </row>
    <row r="23" spans="1:11" ht="15" customHeight="1" x14ac:dyDescent="0.2">
      <c r="A23" s="7" t="s">
        <v>264</v>
      </c>
      <c r="B23" s="68">
        <v>-1</v>
      </c>
      <c r="C23" s="68">
        <v>-1</v>
      </c>
      <c r="D23" s="68">
        <v>-1</v>
      </c>
      <c r="E23" s="68">
        <v>-7</v>
      </c>
      <c r="F23" s="68">
        <v>-1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</row>
    <row r="24" spans="1:11" ht="15" customHeight="1" x14ac:dyDescent="0.2">
      <c r="A24" s="7" t="s">
        <v>265</v>
      </c>
      <c r="B24" s="68">
        <v>-22</v>
      </c>
      <c r="C24" s="68">
        <v>-16</v>
      </c>
      <c r="D24" s="68">
        <v>-409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</row>
    <row r="25" spans="1:11" ht="15" customHeight="1" x14ac:dyDescent="0.2">
      <c r="A25" s="7" t="s">
        <v>266</v>
      </c>
      <c r="B25" s="68">
        <v>0</v>
      </c>
      <c r="C25" s="68">
        <v>0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</row>
    <row r="26" spans="1:11" ht="15" customHeight="1" x14ac:dyDescent="0.2">
      <c r="A26" s="7" t="s">
        <v>267</v>
      </c>
      <c r="B26" s="68">
        <v>0</v>
      </c>
      <c r="C26" s="68">
        <v>0</v>
      </c>
      <c r="D26" s="68">
        <v>0</v>
      </c>
      <c r="E26" s="68">
        <v>0</v>
      </c>
      <c r="F26" s="68">
        <v>0</v>
      </c>
      <c r="G26" s="68">
        <v>-9</v>
      </c>
      <c r="H26" s="68">
        <v>-179</v>
      </c>
      <c r="I26" s="68">
        <v>-33</v>
      </c>
      <c r="J26" s="68">
        <v>513</v>
      </c>
      <c r="K26" s="68">
        <v>-1</v>
      </c>
    </row>
    <row r="27" spans="1:11" ht="15" customHeight="1" x14ac:dyDescent="0.2">
      <c r="A27" s="7" t="s">
        <v>268</v>
      </c>
      <c r="B27" s="68">
        <v>-399</v>
      </c>
      <c r="C27" s="68">
        <v>-43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</row>
    <row r="28" spans="1:11" ht="15" customHeight="1" x14ac:dyDescent="0.2">
      <c r="A28" s="7" t="s">
        <v>269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</row>
    <row r="29" spans="1:11" ht="15" customHeight="1" x14ac:dyDescent="0.2">
      <c r="A29" s="7" t="s">
        <v>270</v>
      </c>
      <c r="B29" s="68">
        <v>0</v>
      </c>
      <c r="C29" s="68">
        <v>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</row>
    <row r="30" spans="1:11" ht="15" customHeight="1" x14ac:dyDescent="0.2">
      <c r="A30" s="7" t="s">
        <v>271</v>
      </c>
      <c r="B30" s="68">
        <v>106</v>
      </c>
      <c r="C30" s="68">
        <v>120</v>
      </c>
      <c r="D30" s="68">
        <v>147</v>
      </c>
      <c r="E30" s="68">
        <v>114</v>
      </c>
      <c r="F30" s="68">
        <v>34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</row>
    <row r="31" spans="1:11" ht="15" customHeight="1" x14ac:dyDescent="0.2">
      <c r="A31" s="7" t="s">
        <v>272</v>
      </c>
      <c r="B31" s="68">
        <v>-10</v>
      </c>
      <c r="C31" s="68">
        <v>0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</row>
    <row r="32" spans="1:11" ht="15" customHeight="1" x14ac:dyDescent="0.2">
      <c r="A32" s="7" t="s">
        <v>273</v>
      </c>
      <c r="B32" s="68">
        <v>-202</v>
      </c>
      <c r="C32" s="68">
        <v>0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</row>
    <row r="33" spans="1:11" ht="15" customHeight="1" x14ac:dyDescent="0.2">
      <c r="A33" s="7" t="s">
        <v>274</v>
      </c>
      <c r="B33" s="68">
        <v>-209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</row>
    <row r="34" spans="1:11" ht="15" customHeight="1" x14ac:dyDescent="0.2">
      <c r="A34" s="7" t="s">
        <v>275</v>
      </c>
      <c r="B34" s="68">
        <v>-4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</row>
    <row r="35" spans="1:11" ht="15" customHeight="1" x14ac:dyDescent="0.2">
      <c r="A35" s="7" t="s">
        <v>276</v>
      </c>
      <c r="B35" s="68">
        <v>946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</row>
    <row r="36" spans="1:11" ht="15" customHeight="1" x14ac:dyDescent="0.2">
      <c r="A36" s="7" t="s">
        <v>277</v>
      </c>
      <c r="B36" s="68">
        <v>-30</v>
      </c>
      <c r="C36" s="68">
        <v>0</v>
      </c>
      <c r="D36" s="68">
        <v>0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</row>
    <row r="37" spans="1:11" ht="15" customHeight="1" x14ac:dyDescent="0.2">
      <c r="A37" s="7" t="s">
        <v>278</v>
      </c>
      <c r="B37" s="68">
        <v>0</v>
      </c>
      <c r="C37" s="68">
        <v>0</v>
      </c>
      <c r="D37" s="68">
        <v>0</v>
      </c>
      <c r="E37" s="68">
        <v>0</v>
      </c>
      <c r="F37" s="68">
        <v>-72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</row>
    <row r="38" spans="1:11" ht="15" customHeight="1" x14ac:dyDescent="0.2">
      <c r="A38" s="7" t="s">
        <v>279</v>
      </c>
      <c r="B38" s="68">
        <v>0</v>
      </c>
      <c r="C38" s="68">
        <v>0</v>
      </c>
      <c r="D38" s="68">
        <v>0</v>
      </c>
      <c r="E38" s="68">
        <v>-2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</row>
    <row r="39" spans="1:11" ht="15" customHeight="1" x14ac:dyDescent="0.2">
      <c r="A39" s="7" t="s">
        <v>280</v>
      </c>
      <c r="B39" s="68">
        <v>0</v>
      </c>
      <c r="C39" s="68">
        <v>0</v>
      </c>
      <c r="D39" s="68">
        <v>0</v>
      </c>
      <c r="E39" s="68">
        <v>-1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</row>
    <row r="40" spans="1:11" ht="15" customHeight="1" x14ac:dyDescent="0.2">
      <c r="A40" s="7" t="s">
        <v>281</v>
      </c>
      <c r="B40" s="68">
        <v>-132</v>
      </c>
      <c r="C40" s="68">
        <v>47</v>
      </c>
      <c r="D40" s="68">
        <v>-32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</row>
    <row r="41" spans="1:11" ht="15" customHeight="1" x14ac:dyDescent="0.2">
      <c r="A41" s="7" t="s">
        <v>282</v>
      </c>
      <c r="B41" s="68">
        <v>0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</row>
    <row r="42" spans="1:11" ht="15" customHeight="1" x14ac:dyDescent="0.2">
      <c r="A42" s="7" t="s">
        <v>283</v>
      </c>
      <c r="B42" s="68">
        <v>0</v>
      </c>
      <c r="C42" s="68">
        <v>0</v>
      </c>
      <c r="D42" s="68">
        <v>0</v>
      </c>
      <c r="E42" s="68">
        <v>5</v>
      </c>
      <c r="F42" s="68">
        <v>-2</v>
      </c>
      <c r="G42" s="68">
        <v>-12</v>
      </c>
      <c r="H42" s="68">
        <v>-20</v>
      </c>
      <c r="I42" s="68">
        <v>-35</v>
      </c>
      <c r="J42" s="68">
        <v>50</v>
      </c>
      <c r="K42" s="68">
        <v>-58</v>
      </c>
    </row>
    <row r="43" spans="1:11" ht="15" customHeight="1" x14ac:dyDescent="0.2">
      <c r="A43" s="74" t="s">
        <v>284</v>
      </c>
      <c r="B43" s="73">
        <f t="shared" ref="B43:K43" si="1">B21+B22+B23+B24+B25+B26+B27+B28+B29+B30+B31+B32+B33+B34+B35+B36+B37+B38+B39+B40+B41+B42</f>
        <v>-695</v>
      </c>
      <c r="C43" s="73">
        <f t="shared" si="1"/>
        <v>-56</v>
      </c>
      <c r="D43" s="73">
        <f t="shared" si="1"/>
        <v>-824</v>
      </c>
      <c r="E43" s="73">
        <f t="shared" si="1"/>
        <v>-225</v>
      </c>
      <c r="F43" s="73">
        <f t="shared" si="1"/>
        <v>-1035</v>
      </c>
      <c r="G43" s="73">
        <f t="shared" si="1"/>
        <v>-49</v>
      </c>
      <c r="H43" s="73">
        <f t="shared" si="1"/>
        <v>-335</v>
      </c>
      <c r="I43" s="73">
        <f t="shared" si="1"/>
        <v>-80</v>
      </c>
      <c r="J43" s="73">
        <f t="shared" si="1"/>
        <v>552</v>
      </c>
      <c r="K43" s="73">
        <f t="shared" si="1"/>
        <v>-212</v>
      </c>
    </row>
    <row r="45" spans="1:11" ht="19.5" customHeight="1" x14ac:dyDescent="0.2">
      <c r="A45" s="66" t="s">
        <v>285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5" customHeight="1" x14ac:dyDescent="0.2">
      <c r="A46" s="7" t="s">
        <v>286</v>
      </c>
      <c r="B46" s="68">
        <v>0</v>
      </c>
      <c r="C46" s="68">
        <v>0</v>
      </c>
      <c r="D46" s="68">
        <v>0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</row>
    <row r="47" spans="1:11" ht="15" customHeight="1" x14ac:dyDescent="0.2">
      <c r="A47" s="7" t="s">
        <v>287</v>
      </c>
      <c r="B47" s="68">
        <v>0</v>
      </c>
      <c r="C47" s="68">
        <v>0</v>
      </c>
      <c r="D47" s="68">
        <v>0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</row>
    <row r="48" spans="1:11" ht="15" customHeight="1" x14ac:dyDescent="0.2">
      <c r="A48" s="7" t="s">
        <v>288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21</v>
      </c>
      <c r="H48" s="68">
        <v>19</v>
      </c>
      <c r="I48" s="68">
        <v>0</v>
      </c>
      <c r="J48" s="68">
        <v>0</v>
      </c>
      <c r="K48" s="68">
        <v>0</v>
      </c>
    </row>
    <row r="49" spans="1:11" ht="15" customHeight="1" x14ac:dyDescent="0.2">
      <c r="A49" s="7" t="s">
        <v>289</v>
      </c>
      <c r="B49" s="68">
        <v>-251</v>
      </c>
      <c r="C49" s="68">
        <v>-162</v>
      </c>
      <c r="D49" s="68">
        <v>-69</v>
      </c>
      <c r="E49" s="68">
        <v>-31</v>
      </c>
      <c r="F49" s="68">
        <v>-28</v>
      </c>
      <c r="G49" s="68">
        <v>-27</v>
      </c>
      <c r="H49" s="68">
        <v>-33</v>
      </c>
      <c r="I49" s="68">
        <v>-47</v>
      </c>
      <c r="J49" s="68">
        <v>-13</v>
      </c>
      <c r="K49" s="68">
        <v>-7</v>
      </c>
    </row>
    <row r="50" spans="1:11" ht="15" customHeight="1" x14ac:dyDescent="0.2">
      <c r="A50" s="7" t="s">
        <v>290</v>
      </c>
      <c r="B50" s="68">
        <v>-59</v>
      </c>
      <c r="C50" s="68">
        <v>-20</v>
      </c>
      <c r="D50" s="68">
        <v>-16</v>
      </c>
      <c r="E50" s="68">
        <v>-13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</row>
    <row r="51" spans="1:11" ht="15" customHeight="1" x14ac:dyDescent="0.2">
      <c r="A51" s="7" t="s">
        <v>291</v>
      </c>
      <c r="B51" s="68">
        <v>0</v>
      </c>
      <c r="C51" s="68">
        <v>0</v>
      </c>
      <c r="D51" s="68">
        <v>0</v>
      </c>
      <c r="E51" s="68">
        <v>0</v>
      </c>
      <c r="F51" s="68">
        <v>0</v>
      </c>
      <c r="G51" s="68">
        <v>0</v>
      </c>
      <c r="H51" s="68">
        <v>0</v>
      </c>
      <c r="I51" s="68">
        <v>34</v>
      </c>
      <c r="J51" s="68">
        <v>0</v>
      </c>
      <c r="K51" s="68">
        <v>0</v>
      </c>
    </row>
    <row r="52" spans="1:11" ht="15" customHeight="1" x14ac:dyDescent="0.2">
      <c r="A52" s="7" t="s">
        <v>292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</row>
    <row r="53" spans="1:11" ht="15" customHeight="1" x14ac:dyDescent="0.2">
      <c r="A53" s="7" t="s">
        <v>293</v>
      </c>
      <c r="B53" s="68">
        <v>0</v>
      </c>
      <c r="C53" s="68">
        <v>0</v>
      </c>
      <c r="D53" s="68">
        <v>0</v>
      </c>
      <c r="E53" s="68">
        <v>0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</row>
    <row r="54" spans="1:11" ht="15" customHeight="1" x14ac:dyDescent="0.2">
      <c r="A54" s="7" t="s">
        <v>294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</row>
    <row r="55" spans="1:11" ht="15" customHeight="1" x14ac:dyDescent="0.2">
      <c r="A55" s="7" t="s">
        <v>295</v>
      </c>
      <c r="B55" s="68">
        <v>54</v>
      </c>
      <c r="C55" s="68">
        <v>29</v>
      </c>
      <c r="D55" s="68">
        <v>-77</v>
      </c>
      <c r="E55" s="68">
        <v>0</v>
      </c>
      <c r="F55" s="68">
        <v>14</v>
      </c>
      <c r="G55" s="68">
        <v>241</v>
      </c>
      <c r="H55" s="68">
        <v>326</v>
      </c>
      <c r="I55" s="68">
        <v>-696</v>
      </c>
      <c r="J55" s="68">
        <v>1</v>
      </c>
      <c r="K55" s="68">
        <v>9</v>
      </c>
    </row>
    <row r="56" spans="1:11" ht="15" customHeight="1" x14ac:dyDescent="0.2">
      <c r="A56" s="7" t="s">
        <v>296</v>
      </c>
      <c r="B56" s="68">
        <v>0</v>
      </c>
      <c r="C56" s="68">
        <v>0</v>
      </c>
      <c r="D56" s="68">
        <v>0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</row>
    <row r="57" spans="1:11" ht="15" customHeight="1" x14ac:dyDescent="0.2">
      <c r="A57" s="7" t="s">
        <v>297</v>
      </c>
      <c r="B57" s="68">
        <v>0</v>
      </c>
      <c r="C57" s="68">
        <v>0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</row>
    <row r="58" spans="1:11" ht="15" customHeight="1" x14ac:dyDescent="0.2">
      <c r="A58" s="7" t="s">
        <v>298</v>
      </c>
      <c r="B58" s="68">
        <v>0</v>
      </c>
      <c r="C58" s="68">
        <v>0</v>
      </c>
      <c r="D58" s="68">
        <v>0</v>
      </c>
      <c r="E58" s="68">
        <v>0</v>
      </c>
      <c r="F58" s="68">
        <v>0</v>
      </c>
      <c r="G58" s="68">
        <v>5</v>
      </c>
      <c r="H58" s="68">
        <v>11</v>
      </c>
      <c r="I58" s="68">
        <v>7</v>
      </c>
      <c r="J58" s="68">
        <v>-12</v>
      </c>
      <c r="K58" s="68">
        <v>-2</v>
      </c>
    </row>
    <row r="59" spans="1:11" ht="15" customHeight="1" x14ac:dyDescent="0.2">
      <c r="A59" s="7" t="s">
        <v>299</v>
      </c>
      <c r="B59" s="68">
        <v>226</v>
      </c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</row>
    <row r="60" spans="1:11" ht="15" customHeight="1" x14ac:dyDescent="0.2">
      <c r="A60" s="7" t="s">
        <v>300</v>
      </c>
      <c r="B60" s="68">
        <v>-7</v>
      </c>
      <c r="C60" s="68">
        <v>0</v>
      </c>
      <c r="D60" s="68">
        <v>0</v>
      </c>
      <c r="E60" s="68">
        <v>0</v>
      </c>
      <c r="F60" s="68">
        <v>0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</row>
    <row r="61" spans="1:11" ht="15" customHeight="1" x14ac:dyDescent="0.2">
      <c r="A61" s="7" t="s">
        <v>301</v>
      </c>
      <c r="B61" s="68">
        <v>123</v>
      </c>
      <c r="C61" s="68">
        <v>0</v>
      </c>
      <c r="D61" s="68">
        <v>0</v>
      </c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</row>
    <row r="62" spans="1:11" ht="15" customHeight="1" x14ac:dyDescent="0.2">
      <c r="A62" s="7" t="s">
        <v>302</v>
      </c>
      <c r="B62" s="68">
        <v>0</v>
      </c>
      <c r="C62" s="68">
        <v>0</v>
      </c>
      <c r="D62" s="68">
        <v>0</v>
      </c>
      <c r="E62" s="68">
        <v>0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</row>
    <row r="63" spans="1:11" ht="15" customHeight="1" x14ac:dyDescent="0.2">
      <c r="A63" s="7" t="s">
        <v>303</v>
      </c>
      <c r="B63" s="68">
        <v>0</v>
      </c>
      <c r="C63" s="68">
        <v>0</v>
      </c>
      <c r="D63" s="68">
        <v>0</v>
      </c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</row>
    <row r="64" spans="1:11" ht="15" customHeight="1" x14ac:dyDescent="0.2">
      <c r="A64" s="7" t="s">
        <v>304</v>
      </c>
      <c r="B64" s="68">
        <v>0</v>
      </c>
      <c r="C64" s="68">
        <v>0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</row>
    <row r="65" spans="1:11" ht="15" customHeight="1" x14ac:dyDescent="0.2">
      <c r="A65" s="7" t="s">
        <v>305</v>
      </c>
      <c r="B65" s="68">
        <v>0</v>
      </c>
      <c r="C65" s="68">
        <v>0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</row>
    <row r="66" spans="1:11" ht="15" customHeight="1" x14ac:dyDescent="0.2">
      <c r="A66" s="7" t="s">
        <v>306</v>
      </c>
      <c r="B66" s="68">
        <v>2089</v>
      </c>
      <c r="C66" s="68">
        <v>65</v>
      </c>
      <c r="D66" s="68">
        <v>974</v>
      </c>
      <c r="E66" s="68">
        <v>28</v>
      </c>
      <c r="F66" s="68">
        <v>1120</v>
      </c>
      <c r="G66" s="68">
        <v>259</v>
      </c>
      <c r="H66" s="68">
        <v>734</v>
      </c>
      <c r="I66" s="68">
        <v>579</v>
      </c>
      <c r="J66" s="68">
        <v>41</v>
      </c>
      <c r="K66" s="68">
        <v>173</v>
      </c>
    </row>
    <row r="67" spans="1:11" ht="15" customHeight="1" x14ac:dyDescent="0.2">
      <c r="A67" s="7" t="s">
        <v>307</v>
      </c>
      <c r="B67" s="68">
        <v>-1454</v>
      </c>
      <c r="C67" s="68">
        <v>-426</v>
      </c>
      <c r="D67" s="68">
        <v>-594</v>
      </c>
      <c r="E67" s="68">
        <v>0</v>
      </c>
      <c r="F67" s="68">
        <v>0</v>
      </c>
      <c r="G67" s="68">
        <v>-453</v>
      </c>
      <c r="H67" s="68">
        <v>-762</v>
      </c>
      <c r="I67" s="68">
        <v>-114</v>
      </c>
      <c r="J67" s="68">
        <v>-453</v>
      </c>
      <c r="K67" s="68">
        <v>-233</v>
      </c>
    </row>
    <row r="68" spans="1:11" ht="15" customHeight="1" x14ac:dyDescent="0.2">
      <c r="A68" s="7" t="s">
        <v>308</v>
      </c>
      <c r="B68" s="68">
        <v>-41</v>
      </c>
      <c r="C68" s="68">
        <v>-44</v>
      </c>
      <c r="D68" s="68">
        <v>-4</v>
      </c>
      <c r="E68" s="68">
        <v>5</v>
      </c>
      <c r="F68" s="68">
        <v>-21</v>
      </c>
      <c r="G68" s="68">
        <v>2</v>
      </c>
      <c r="H68" s="68">
        <v>-3</v>
      </c>
      <c r="I68" s="68">
        <v>-2</v>
      </c>
      <c r="J68" s="68">
        <v>-2</v>
      </c>
      <c r="K68" s="68">
        <v>-1</v>
      </c>
    </row>
    <row r="69" spans="1:11" ht="15" customHeight="1" x14ac:dyDescent="0.2">
      <c r="A69" s="7" t="s">
        <v>309</v>
      </c>
      <c r="B69" s="68">
        <v>0</v>
      </c>
      <c r="C69" s="68">
        <v>0</v>
      </c>
      <c r="D69" s="68">
        <v>0</v>
      </c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</row>
    <row r="70" spans="1:11" ht="15" customHeight="1" x14ac:dyDescent="0.2">
      <c r="A70" s="7" t="s">
        <v>310</v>
      </c>
      <c r="B70" s="68">
        <v>-14</v>
      </c>
      <c r="C70" s="68">
        <v>0</v>
      </c>
      <c r="D70" s="68">
        <v>9</v>
      </c>
      <c r="E70" s="68">
        <v>-56</v>
      </c>
      <c r="F70" s="68">
        <v>0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</row>
    <row r="71" spans="1:11" ht="15" customHeight="1" x14ac:dyDescent="0.2">
      <c r="A71" s="7" t="s">
        <v>311</v>
      </c>
      <c r="B71" s="68">
        <v>0</v>
      </c>
      <c r="C71" s="68">
        <v>0</v>
      </c>
      <c r="D71" s="68">
        <v>0</v>
      </c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</row>
    <row r="72" spans="1:11" ht="15" customHeight="1" x14ac:dyDescent="0.2">
      <c r="A72" s="74" t="s">
        <v>312</v>
      </c>
      <c r="B72" s="73">
        <f t="shared" ref="B72:K72" si="2">B46+B47+B48+B49+B50+B51+B52+B53+B54+B55+B56+B57+B58+B59+B60+B61+B62+B63+B64+B65+B66+B67+B68+B69+B70+B71</f>
        <v>666</v>
      </c>
      <c r="C72" s="73">
        <f t="shared" si="2"/>
        <v>-558</v>
      </c>
      <c r="D72" s="73">
        <f t="shared" si="2"/>
        <v>223</v>
      </c>
      <c r="E72" s="73">
        <f t="shared" si="2"/>
        <v>-67</v>
      </c>
      <c r="F72" s="73">
        <f t="shared" si="2"/>
        <v>1085</v>
      </c>
      <c r="G72" s="73">
        <f t="shared" si="2"/>
        <v>48</v>
      </c>
      <c r="H72" s="73">
        <f t="shared" si="2"/>
        <v>292</v>
      </c>
      <c r="I72" s="73">
        <f t="shared" si="2"/>
        <v>-239</v>
      </c>
      <c r="J72" s="73">
        <f t="shared" si="2"/>
        <v>-438</v>
      </c>
      <c r="K72" s="73">
        <f t="shared" si="2"/>
        <v>-61</v>
      </c>
    </row>
    <row r="74" spans="1:11" ht="19.5" customHeight="1" x14ac:dyDescent="0.2">
      <c r="A74" s="66" t="s">
        <v>313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5" customHeight="1" x14ac:dyDescent="0.2">
      <c r="A75" s="7" t="s">
        <v>314</v>
      </c>
      <c r="B75" s="68">
        <v>-9</v>
      </c>
      <c r="C75" s="68">
        <v>-7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</row>
    <row r="76" spans="1:11" ht="15" customHeight="1" x14ac:dyDescent="0.2">
      <c r="A76" s="74" t="s">
        <v>315</v>
      </c>
      <c r="B76" s="73">
        <f t="shared" ref="B76:K76" si="3">B18+B43+B72+B75</f>
        <v>845</v>
      </c>
      <c r="C76" s="73">
        <f t="shared" si="3"/>
        <v>152</v>
      </c>
      <c r="D76" s="73">
        <f t="shared" si="3"/>
        <v>73</v>
      </c>
      <c r="E76" s="73">
        <f t="shared" si="3"/>
        <v>-108</v>
      </c>
      <c r="F76" s="73">
        <f t="shared" si="3"/>
        <v>-1</v>
      </c>
      <c r="G76" s="73">
        <f t="shared" si="3"/>
        <v>240</v>
      </c>
      <c r="H76" s="73">
        <f t="shared" si="3"/>
        <v>23</v>
      </c>
      <c r="I76" s="73">
        <f t="shared" si="3"/>
        <v>-165</v>
      </c>
      <c r="J76" s="73">
        <f t="shared" si="3"/>
        <v>-1</v>
      </c>
      <c r="K76" s="73">
        <f t="shared" si="3"/>
        <v>-122</v>
      </c>
    </row>
    <row r="77" spans="1:11" ht="15" customHeight="1" x14ac:dyDescent="0.2">
      <c r="A77" s="7" t="s">
        <v>316</v>
      </c>
      <c r="B77" s="68">
        <v>742</v>
      </c>
      <c r="C77" s="68">
        <v>563</v>
      </c>
      <c r="D77" s="68">
        <v>465</v>
      </c>
      <c r="E77" s="68">
        <v>578</v>
      </c>
      <c r="F77" s="68">
        <v>554</v>
      </c>
      <c r="G77" s="68">
        <v>308</v>
      </c>
      <c r="H77" s="68">
        <v>279</v>
      </c>
      <c r="I77" s="68">
        <v>186</v>
      </c>
      <c r="J77" s="68">
        <v>176</v>
      </c>
      <c r="K77" s="68">
        <v>297</v>
      </c>
    </row>
    <row r="78" spans="1:11" ht="15" customHeight="1" x14ac:dyDescent="0.2">
      <c r="A78" s="7" t="s">
        <v>317</v>
      </c>
      <c r="B78" s="68">
        <v>0</v>
      </c>
      <c r="C78" s="68">
        <v>0</v>
      </c>
      <c r="D78" s="68">
        <v>0</v>
      </c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</row>
    <row r="79" spans="1:11" ht="15" customHeight="1" x14ac:dyDescent="0.2">
      <c r="A79" s="7" t="s">
        <v>318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</row>
    <row r="80" spans="1:11" ht="15" customHeight="1" x14ac:dyDescent="0.2">
      <c r="A80" s="7" t="s">
        <v>319</v>
      </c>
      <c r="B80" s="68">
        <v>-67</v>
      </c>
      <c r="C80" s="68">
        <v>0</v>
      </c>
      <c r="D80" s="68">
        <v>0</v>
      </c>
      <c r="E80" s="68">
        <v>0</v>
      </c>
      <c r="F80" s="68">
        <v>0</v>
      </c>
      <c r="G80" s="68">
        <v>1</v>
      </c>
      <c r="H80" s="68">
        <v>0</v>
      </c>
      <c r="I80" s="68">
        <v>0</v>
      </c>
      <c r="J80" s="68">
        <v>0</v>
      </c>
      <c r="K80" s="68">
        <v>267</v>
      </c>
    </row>
    <row r="81" spans="1:11" ht="15" customHeight="1" x14ac:dyDescent="0.2">
      <c r="A81" s="7" t="s">
        <v>311</v>
      </c>
      <c r="B81" s="68">
        <v>0</v>
      </c>
      <c r="C81" s="68">
        <v>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</row>
    <row r="82" spans="1:11" ht="15" customHeight="1" x14ac:dyDescent="0.2">
      <c r="A82" s="74" t="s">
        <v>137</v>
      </c>
      <c r="B82" s="73">
        <f t="shared" ref="B82:K82" si="4">B77+B76+B78+B79+B80+B81</f>
        <v>1520</v>
      </c>
      <c r="C82" s="73">
        <f t="shared" si="4"/>
        <v>715</v>
      </c>
      <c r="D82" s="73">
        <f t="shared" si="4"/>
        <v>538</v>
      </c>
      <c r="E82" s="73">
        <f t="shared" si="4"/>
        <v>470</v>
      </c>
      <c r="F82" s="73">
        <f t="shared" si="4"/>
        <v>553</v>
      </c>
      <c r="G82" s="73">
        <f t="shared" si="4"/>
        <v>549</v>
      </c>
      <c r="H82" s="73">
        <f t="shared" si="4"/>
        <v>302</v>
      </c>
      <c r="I82" s="73">
        <f t="shared" si="4"/>
        <v>21</v>
      </c>
      <c r="J82" s="73">
        <f t="shared" si="4"/>
        <v>175</v>
      </c>
      <c r="K82" s="73">
        <f t="shared" si="4"/>
        <v>442</v>
      </c>
    </row>
    <row r="85" spans="1:11" ht="30" customHeight="1" x14ac:dyDescent="0.2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</row>
  </sheetData>
  <mergeCells count="3">
    <mergeCell ref="A1:K1"/>
    <mergeCell ref="A2:K2"/>
    <mergeCell ref="A85:K8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H1"/>
    </sheetView>
  </sheetViews>
  <sheetFormatPr baseColWidth="10" defaultColWidth="8.6640625" defaultRowHeight="15" x14ac:dyDescent="0.2"/>
  <cols>
    <col min="1" max="1" width="46" customWidth="1"/>
    <col min="2" max="6" width="14" customWidth="1"/>
    <col min="8" max="8" width="60" customWidth="1"/>
  </cols>
  <sheetData>
    <row r="1" spans="1:8" ht="17.25" customHeight="1" x14ac:dyDescent="0.2">
      <c r="A1" s="112" t="s">
        <v>320</v>
      </c>
      <c r="B1" s="112"/>
      <c r="C1" s="112"/>
      <c r="D1" s="112"/>
      <c r="E1" s="112"/>
      <c r="F1" s="112"/>
      <c r="G1" s="112"/>
      <c r="H1" s="112"/>
    </row>
    <row r="3" spans="1:8" ht="15" customHeight="1" x14ac:dyDescent="0.2">
      <c r="A3" s="113" t="s">
        <v>321</v>
      </c>
      <c r="B3" s="113"/>
      <c r="C3" s="113"/>
      <c r="D3" s="113"/>
      <c r="E3" s="113"/>
      <c r="F3" s="113"/>
      <c r="G3" s="113"/>
      <c r="H3" s="113"/>
    </row>
    <row r="4" spans="1:8" ht="15" customHeight="1" x14ac:dyDescent="0.2">
      <c r="A4" s="75" t="s">
        <v>1</v>
      </c>
      <c r="B4" s="75" t="s">
        <v>322</v>
      </c>
      <c r="C4" s="75" t="s">
        <v>323</v>
      </c>
      <c r="H4" s="75" t="s">
        <v>324</v>
      </c>
    </row>
    <row r="5" spans="1:8" ht="21.75" customHeight="1" x14ac:dyDescent="0.2">
      <c r="A5" s="7" t="s">
        <v>325</v>
      </c>
      <c r="B5" s="76">
        <v>7.3400000000000007E-2</v>
      </c>
      <c r="C5" s="77" t="s">
        <v>326</v>
      </c>
      <c r="H5" s="1"/>
    </row>
    <row r="6" spans="1:8" ht="21.75" customHeight="1" x14ac:dyDescent="0.2">
      <c r="A6" s="7" t="s">
        <v>327</v>
      </c>
      <c r="B6" s="76">
        <v>0.06</v>
      </c>
      <c r="C6" s="77" t="s">
        <v>326</v>
      </c>
      <c r="H6" s="1"/>
    </row>
    <row r="7" spans="1:8" ht="15" customHeight="1" x14ac:dyDescent="0.2">
      <c r="A7" s="7" t="s">
        <v>328</v>
      </c>
      <c r="B7" s="78">
        <f>0.67*'Market Data'!C13+0.33*1</f>
        <v>2.2462</v>
      </c>
      <c r="C7" s="77" t="s">
        <v>329</v>
      </c>
      <c r="H7" s="28"/>
    </row>
    <row r="8" spans="1:8" ht="21.75" customHeight="1" x14ac:dyDescent="0.2">
      <c r="A8" s="69" t="s">
        <v>330</v>
      </c>
      <c r="B8" s="79">
        <f>B5+B7*B6</f>
        <v>0.20817200000000002</v>
      </c>
      <c r="C8" s="80" t="s">
        <v>326</v>
      </c>
      <c r="H8" s="1"/>
    </row>
    <row r="10" spans="1:8" ht="21.75" customHeight="1" x14ac:dyDescent="0.2">
      <c r="A10" s="7" t="s">
        <v>331</v>
      </c>
      <c r="B10" s="76">
        <v>0.03</v>
      </c>
      <c r="C10" s="77" t="s">
        <v>326</v>
      </c>
      <c r="H10" s="1"/>
    </row>
    <row r="12" spans="1:8" ht="15" customHeight="1" x14ac:dyDescent="0.2">
      <c r="A12" s="113" t="s">
        <v>332</v>
      </c>
      <c r="B12" s="113"/>
      <c r="C12" s="113"/>
      <c r="D12" s="113"/>
      <c r="E12" s="113"/>
      <c r="F12" s="113"/>
      <c r="G12" s="113"/>
      <c r="H12" s="113"/>
    </row>
    <row r="13" spans="1:8" ht="15" customHeight="1" x14ac:dyDescent="0.2">
      <c r="A13" s="75" t="s">
        <v>1</v>
      </c>
      <c r="B13" s="75" t="s">
        <v>333</v>
      </c>
      <c r="C13" s="75" t="s">
        <v>334</v>
      </c>
      <c r="D13" s="75" t="s">
        <v>335</v>
      </c>
      <c r="E13" s="75" t="s">
        <v>336</v>
      </c>
      <c r="F13" s="75" t="s">
        <v>337</v>
      </c>
    </row>
    <row r="14" spans="1:8" ht="15" customHeight="1" x14ac:dyDescent="0.2">
      <c r="A14" s="7" t="s">
        <v>338</v>
      </c>
      <c r="B14" s="81">
        <f>Forecast!B44</f>
        <v>401.43153543464462</v>
      </c>
      <c r="C14" s="81">
        <f>Forecast!C44</f>
        <v>532.26476702201535</v>
      </c>
      <c r="D14" s="81">
        <f>Forecast!D44</f>
        <v>705.73873053160787</v>
      </c>
      <c r="E14" s="81">
        <f>Forecast!E44</f>
        <v>935.75075156489652</v>
      </c>
      <c r="F14" s="81">
        <f>Forecast!F44</f>
        <v>1240.7275258858017</v>
      </c>
    </row>
    <row r="15" spans="1:8" ht="15" customHeight="1" x14ac:dyDescent="0.2">
      <c r="A15" s="7" t="s">
        <v>339</v>
      </c>
      <c r="B15" s="82">
        <v>1</v>
      </c>
      <c r="C15" s="82">
        <v>2</v>
      </c>
      <c r="D15" s="82">
        <v>3</v>
      </c>
      <c r="E15" s="82">
        <v>4</v>
      </c>
      <c r="F15" s="82">
        <v>5</v>
      </c>
    </row>
    <row r="16" spans="1:8" ht="15" customHeight="1" x14ac:dyDescent="0.2">
      <c r="A16" s="7" t="s">
        <v>340</v>
      </c>
      <c r="B16" s="83">
        <f>1/(1+$B$8)^B15</f>
        <v>0.82769671867912842</v>
      </c>
      <c r="C16" s="83">
        <f>1/(1+$B$8)^C15</f>
        <v>0.68508185811219635</v>
      </c>
      <c r="D16" s="83">
        <f>1/(1+$B$8)^D15</f>
        <v>0.56704000598606519</v>
      </c>
      <c r="E16" s="83">
        <f>1/(1+$B$8)^E15</f>
        <v>0.46933715231445944</v>
      </c>
      <c r="F16" s="83">
        <f>1/(1+$B$8)^F15</f>
        <v>0.38846882092488444</v>
      </c>
    </row>
    <row r="17" spans="1:8" ht="15" customHeight="1" x14ac:dyDescent="0.2">
      <c r="A17" s="69" t="s">
        <v>341</v>
      </c>
      <c r="B17" s="84">
        <f>B14*B16</f>
        <v>332.26356465357964</v>
      </c>
      <c r="C17" s="84">
        <f>C14*C16</f>
        <v>364.64493559909755</v>
      </c>
      <c r="D17" s="84">
        <f>D14*D16</f>
        <v>400.18209398524095</v>
      </c>
      <c r="E17" s="84">
        <f>E14*E16</f>
        <v>439.18259301558373</v>
      </c>
      <c r="F17" s="84">
        <f>F14*F16</f>
        <v>481.9839590699064</v>
      </c>
    </row>
    <row r="19" spans="1:8" ht="15" customHeight="1" x14ac:dyDescent="0.2">
      <c r="A19" s="113" t="s">
        <v>342</v>
      </c>
      <c r="B19" s="113"/>
      <c r="C19" s="113"/>
      <c r="D19" s="113"/>
      <c r="E19" s="113"/>
      <c r="F19" s="113"/>
      <c r="G19" s="113"/>
      <c r="H19" s="113"/>
    </row>
    <row r="20" spans="1:8" ht="15" customHeight="1" x14ac:dyDescent="0.2">
      <c r="A20" s="75" t="s">
        <v>1</v>
      </c>
      <c r="B20" s="75" t="s">
        <v>322</v>
      </c>
      <c r="C20" s="75" t="s">
        <v>323</v>
      </c>
    </row>
    <row r="21" spans="1:8" ht="15" customHeight="1" x14ac:dyDescent="0.2">
      <c r="A21" s="7" t="s">
        <v>343</v>
      </c>
      <c r="B21" s="84">
        <f>F14</f>
        <v>1240.7275258858017</v>
      </c>
    </row>
    <row r="22" spans="1:8" ht="15" customHeight="1" x14ac:dyDescent="0.2">
      <c r="A22" s="7" t="s">
        <v>344</v>
      </c>
      <c r="B22" s="84">
        <f>B21*(1+$B$10)/($B$8-$B$10)</f>
        <v>7172.5599514086143</v>
      </c>
    </row>
    <row r="23" spans="1:8" ht="15" customHeight="1" x14ac:dyDescent="0.2">
      <c r="A23" s="69" t="s">
        <v>345</v>
      </c>
      <c r="B23" s="84">
        <f>B22*F16</f>
        <v>2786.315907336751</v>
      </c>
    </row>
    <row r="25" spans="1:8" ht="15" customHeight="1" x14ac:dyDescent="0.2">
      <c r="A25" s="113" t="s">
        <v>346</v>
      </c>
      <c r="B25" s="113"/>
      <c r="C25" s="113"/>
      <c r="D25" s="113"/>
      <c r="E25" s="113"/>
      <c r="F25" s="113"/>
      <c r="G25" s="113"/>
      <c r="H25" s="113"/>
    </row>
    <row r="26" spans="1:8" ht="15" customHeight="1" x14ac:dyDescent="0.2">
      <c r="A26" s="7" t="s">
        <v>347</v>
      </c>
      <c r="B26" s="84">
        <f>SUM(B17:F17)</f>
        <v>2018.2571463234083</v>
      </c>
    </row>
    <row r="27" spans="1:8" ht="15" customHeight="1" x14ac:dyDescent="0.2">
      <c r="A27" s="7" t="s">
        <v>345</v>
      </c>
      <c r="B27" s="84">
        <f>B23</f>
        <v>2786.315907336751</v>
      </c>
    </row>
    <row r="28" spans="1:8" ht="15" customHeight="1" x14ac:dyDescent="0.2">
      <c r="A28" s="69" t="s">
        <v>348</v>
      </c>
      <c r="B28" s="84">
        <f>B26+B27</f>
        <v>4804.5730536601595</v>
      </c>
    </row>
    <row r="29" spans="1:8" ht="15" customHeight="1" x14ac:dyDescent="0.2">
      <c r="A29" s="7" t="s">
        <v>349</v>
      </c>
      <c r="B29" s="85">
        <f>Forecast!F18</f>
        <v>4.2300000000000004</v>
      </c>
    </row>
    <row r="30" spans="1:8" ht="15" customHeight="1" x14ac:dyDescent="0.2">
      <c r="A30" s="69" t="s">
        <v>350</v>
      </c>
      <c r="B30" s="86">
        <f>B28/B29</f>
        <v>1135.8328732057114</v>
      </c>
    </row>
    <row r="31" spans="1:8" ht="15" customHeight="1" x14ac:dyDescent="0.2">
      <c r="A31" s="7" t="s">
        <v>351</v>
      </c>
      <c r="B31" s="87">
        <f>'Market Data'!C9</f>
        <v>890</v>
      </c>
    </row>
    <row r="32" spans="1:8" ht="15" customHeight="1" x14ac:dyDescent="0.2">
      <c r="A32" s="69" t="s">
        <v>352</v>
      </c>
      <c r="B32" s="79">
        <f>(B30-B31)/B31</f>
        <v>0.27621671146709148</v>
      </c>
    </row>
  </sheetData>
  <mergeCells count="5">
    <mergeCell ref="A1:H1"/>
    <mergeCell ref="A3:H3"/>
    <mergeCell ref="A12:H12"/>
    <mergeCell ref="A19:H19"/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baseColWidth="10" defaultColWidth="8.6640625" defaultRowHeight="15" x14ac:dyDescent="0.2"/>
  <cols>
    <col min="1" max="1" width="46" customWidth="1"/>
    <col min="2" max="2" width="16.6640625" customWidth="1"/>
    <col min="3" max="9" width="13" customWidth="1"/>
    <col min="10" max="10" width="55" customWidth="1"/>
  </cols>
  <sheetData>
    <row r="1" spans="1:10" ht="17.25" customHeight="1" x14ac:dyDescent="0.2">
      <c r="A1" s="112" t="s">
        <v>353</v>
      </c>
      <c r="B1" s="112"/>
      <c r="C1" s="112"/>
      <c r="D1" s="112"/>
      <c r="E1" s="112"/>
      <c r="F1" s="112"/>
      <c r="G1" s="112"/>
      <c r="H1" s="112"/>
      <c r="I1" s="112"/>
      <c r="J1" s="112"/>
    </row>
    <row r="3" spans="1:10" ht="15" customHeight="1" x14ac:dyDescent="0.2">
      <c r="A3" s="113" t="s">
        <v>354</v>
      </c>
      <c r="B3" s="113"/>
      <c r="C3" s="113"/>
      <c r="D3" s="113"/>
      <c r="E3" s="113"/>
      <c r="F3" s="113"/>
      <c r="G3" s="113"/>
      <c r="H3" s="113"/>
      <c r="I3" s="113"/>
      <c r="J3" s="113"/>
    </row>
    <row r="4" spans="1:10" ht="15" customHeight="1" x14ac:dyDescent="0.2">
      <c r="A4" s="75" t="s">
        <v>1</v>
      </c>
      <c r="B4" s="75" t="s">
        <v>355</v>
      </c>
      <c r="C4" s="75" t="s">
        <v>323</v>
      </c>
      <c r="J4" s="75" t="s">
        <v>12</v>
      </c>
    </row>
    <row r="5" spans="1:10" ht="15" customHeight="1" x14ac:dyDescent="0.2">
      <c r="A5" s="7" t="s">
        <v>356</v>
      </c>
      <c r="B5" s="78">
        <f>AVERAGE('Key Ratio'!B8:K8)</f>
        <v>24.733784696447756</v>
      </c>
      <c r="C5" s="88" t="s">
        <v>329</v>
      </c>
      <c r="J5" s="1"/>
    </row>
    <row r="6" spans="1:10" ht="15" customHeight="1" x14ac:dyDescent="0.2">
      <c r="A6" s="7" t="s">
        <v>357</v>
      </c>
      <c r="B6" s="78">
        <f>AVERAGE('Key Ratio'!B17:K17)</f>
        <v>2.2652571310052294</v>
      </c>
      <c r="C6" s="88" t="s">
        <v>329</v>
      </c>
      <c r="J6" s="1"/>
    </row>
    <row r="7" spans="1:10" ht="21.75" customHeight="1" x14ac:dyDescent="0.2">
      <c r="A7" s="7" t="s">
        <v>358</v>
      </c>
      <c r="B7" s="89">
        <f>AVERAGE(B14:I14)</f>
        <v>11.565895906476026</v>
      </c>
      <c r="C7" s="90" t="s">
        <v>329</v>
      </c>
      <c r="J7" s="1"/>
    </row>
    <row r="9" spans="1:10" ht="15" customHeight="1" x14ac:dyDescent="0.2">
      <c r="A9" s="113" t="s">
        <v>359</v>
      </c>
      <c r="B9" s="113"/>
      <c r="C9" s="113"/>
      <c r="D9" s="113"/>
      <c r="E9" s="113"/>
      <c r="F9" s="113"/>
      <c r="G9" s="113"/>
      <c r="H9" s="113"/>
      <c r="I9" s="113"/>
      <c r="J9" s="113"/>
    </row>
    <row r="10" spans="1:10" ht="15" customHeight="1" x14ac:dyDescent="0.2">
      <c r="A10" s="75" t="s">
        <v>1</v>
      </c>
      <c r="B10" s="75" t="s">
        <v>360</v>
      </c>
      <c r="C10" s="75" t="s">
        <v>361</v>
      </c>
      <c r="D10" s="75" t="s">
        <v>362</v>
      </c>
      <c r="E10" s="75" t="s">
        <v>363</v>
      </c>
      <c r="F10" s="75" t="s">
        <v>364</v>
      </c>
      <c r="G10" s="75" t="s">
        <v>365</v>
      </c>
      <c r="H10" s="75" t="s">
        <v>366</v>
      </c>
      <c r="I10" s="75" t="s">
        <v>367</v>
      </c>
    </row>
    <row r="11" spans="1:10" ht="15" customHeight="1" x14ac:dyDescent="0.2">
      <c r="A11" s="7" t="s">
        <v>77</v>
      </c>
      <c r="B11" s="81">
        <f>'Market Data'!D30</f>
        <v>1763.75</v>
      </c>
      <c r="C11" s="81">
        <f>'Market Data'!E30</f>
        <v>1121.7</v>
      </c>
      <c r="D11" s="81">
        <f>'Market Data'!F30</f>
        <v>949.5</v>
      </c>
      <c r="E11" s="81">
        <f>'Market Data'!G30</f>
        <v>1743.4</v>
      </c>
      <c r="F11" s="81">
        <f>'Market Data'!H30</f>
        <v>5692.5</v>
      </c>
      <c r="G11" s="81">
        <f>'Market Data'!I30</f>
        <v>7524.3</v>
      </c>
      <c r="H11" s="81">
        <f>'Market Data'!J30</f>
        <v>12654.750000000002</v>
      </c>
      <c r="I11" s="81">
        <f>'Market Data'!K30</f>
        <v>26831.000000000004</v>
      </c>
    </row>
    <row r="12" spans="1:10" ht="15" customHeight="1" x14ac:dyDescent="0.2">
      <c r="A12" s="7" t="s">
        <v>368</v>
      </c>
      <c r="B12" s="81">
        <f>'Key Ratio'!D10</f>
        <v>184.57</v>
      </c>
      <c r="C12" s="81">
        <f>'Key Ratio'!E10</f>
        <v>136.69</v>
      </c>
      <c r="D12" s="81">
        <f>'Key Ratio'!F10</f>
        <v>187.66</v>
      </c>
      <c r="E12" s="81">
        <f>'Key Ratio'!G10</f>
        <v>175.74</v>
      </c>
      <c r="F12" s="81">
        <f>'Key Ratio'!H10</f>
        <v>334.92</v>
      </c>
      <c r="G12" s="81">
        <f>'Key Ratio'!I10</f>
        <v>1000.02</v>
      </c>
      <c r="H12" s="81">
        <f>'Key Ratio'!J10</f>
        <v>1105.93</v>
      </c>
      <c r="I12" s="81">
        <f>'Key Ratio'!K10</f>
        <v>1126.33</v>
      </c>
    </row>
    <row r="13" spans="1:10" ht="15" customHeight="1" x14ac:dyDescent="0.2">
      <c r="A13" s="7" t="s">
        <v>369</v>
      </c>
      <c r="B13" s="81">
        <f>'Income Statement'!D9</f>
        <v>88</v>
      </c>
      <c r="C13" s="81">
        <f>'Income Statement'!E9</f>
        <v>40</v>
      </c>
      <c r="D13" s="81">
        <f>'Income Statement'!F9</f>
        <v>83</v>
      </c>
      <c r="E13" s="81">
        <f>'Income Statement'!G9</f>
        <v>66</v>
      </c>
      <c r="F13" s="81">
        <f>'Income Statement'!H9</f>
        <v>184</v>
      </c>
      <c r="G13" s="81">
        <f>'Income Statement'!I9</f>
        <v>733</v>
      </c>
      <c r="H13" s="81">
        <f>'Income Statement'!J9</f>
        <v>782</v>
      </c>
      <c r="I13" s="81">
        <f>'Income Statement'!K9</f>
        <v>772</v>
      </c>
    </row>
    <row r="14" spans="1:10" ht="15" customHeight="1" x14ac:dyDescent="0.2">
      <c r="A14" s="7" t="s">
        <v>370</v>
      </c>
      <c r="B14" s="89">
        <f t="shared" ref="B14:I15" si="0">B11/B12</f>
        <v>9.5559950154412956</v>
      </c>
      <c r="C14" s="89">
        <f t="shared" si="0"/>
        <v>8.206159923915429</v>
      </c>
      <c r="D14" s="89">
        <f t="shared" si="0"/>
        <v>5.0596824043482895</v>
      </c>
      <c r="E14" s="89">
        <f t="shared" si="0"/>
        <v>9.9203368612723342</v>
      </c>
      <c r="F14" s="89">
        <f t="shared" si="0"/>
        <v>16.996596202078109</v>
      </c>
      <c r="G14" s="89">
        <f t="shared" si="0"/>
        <v>7.5241495170096604</v>
      </c>
      <c r="H14" s="89">
        <f t="shared" si="0"/>
        <v>11.442631992983282</v>
      </c>
      <c r="I14" s="89">
        <f t="shared" si="0"/>
        <v>23.821615334759798</v>
      </c>
    </row>
    <row r="15" spans="1:10" ht="15" customHeight="1" x14ac:dyDescent="0.2">
      <c r="A15" s="7" t="s">
        <v>371</v>
      </c>
      <c r="B15" s="89">
        <f t="shared" si="0"/>
        <v>2.0973863636363634</v>
      </c>
      <c r="C15" s="89">
        <f t="shared" si="0"/>
        <v>3.4172500000000001</v>
      </c>
      <c r="D15" s="89">
        <f t="shared" si="0"/>
        <v>2.2609638554216867</v>
      </c>
      <c r="E15" s="89">
        <f t="shared" si="0"/>
        <v>2.6627272727272731</v>
      </c>
      <c r="F15" s="89">
        <f t="shared" si="0"/>
        <v>1.820217391304348</v>
      </c>
      <c r="G15" s="89">
        <f t="shared" si="0"/>
        <v>1.3642837653478854</v>
      </c>
      <c r="H15" s="89">
        <f t="shared" si="0"/>
        <v>1.4142327365728902</v>
      </c>
      <c r="I15" s="89">
        <f t="shared" si="0"/>
        <v>1.4589766839378238</v>
      </c>
    </row>
    <row r="17" spans="1:10" ht="15" customHeight="1" x14ac:dyDescent="0.2">
      <c r="A17" s="113" t="s">
        <v>372</v>
      </c>
      <c r="B17" s="113"/>
      <c r="C17" s="113"/>
      <c r="D17" s="113"/>
      <c r="E17" s="113"/>
      <c r="F17" s="113"/>
      <c r="G17" s="113"/>
      <c r="H17" s="113"/>
      <c r="I17" s="113"/>
      <c r="J17" s="113"/>
    </row>
    <row r="18" spans="1:10" ht="15" customHeight="1" x14ac:dyDescent="0.2">
      <c r="A18" s="75" t="s">
        <v>1</v>
      </c>
      <c r="B18" s="75" t="s">
        <v>322</v>
      </c>
      <c r="C18" s="75" t="s">
        <v>323</v>
      </c>
    </row>
    <row r="19" spans="1:10" ht="15" customHeight="1" x14ac:dyDescent="0.2">
      <c r="A19" s="7" t="s">
        <v>373</v>
      </c>
      <c r="B19" s="87">
        <f>Forecast!B31</f>
        <v>177.83838315643379</v>
      </c>
    </row>
    <row r="20" spans="1:10" ht="15" customHeight="1" x14ac:dyDescent="0.2">
      <c r="A20" s="7" t="s">
        <v>374</v>
      </c>
      <c r="B20" s="87">
        <f>Forecast!B55</f>
        <v>965.27339186334223</v>
      </c>
    </row>
    <row r="21" spans="1:10" ht="15" customHeight="1" x14ac:dyDescent="0.2">
      <c r="A21" s="7" t="s">
        <v>375</v>
      </c>
      <c r="B21" s="81">
        <f>Forecast!B24</f>
        <v>1074.6034077737227</v>
      </c>
    </row>
    <row r="22" spans="1:10" ht="15" customHeight="1" x14ac:dyDescent="0.2">
      <c r="A22" s="7" t="s">
        <v>376</v>
      </c>
      <c r="B22" s="84">
        <f>B21*AVERAGE(B15:I15)</f>
        <v>2215.8373404571089</v>
      </c>
    </row>
    <row r="23" spans="1:10" ht="15" customHeight="1" x14ac:dyDescent="0.2">
      <c r="A23" s="7" t="s">
        <v>377</v>
      </c>
      <c r="B23" s="81">
        <f>Forecast!B47</f>
        <v>858.71837773513175</v>
      </c>
    </row>
    <row r="24" spans="1:10" ht="15" customHeight="1" x14ac:dyDescent="0.2">
      <c r="A24" s="7" t="s">
        <v>349</v>
      </c>
      <c r="B24" s="85">
        <f>Forecast!B18</f>
        <v>4.2300000000000004</v>
      </c>
    </row>
    <row r="26" spans="1:10" ht="15" customHeight="1" x14ac:dyDescent="0.2">
      <c r="A26" s="113" t="s">
        <v>378</v>
      </c>
      <c r="B26" s="113"/>
      <c r="C26" s="113"/>
      <c r="D26" s="113"/>
      <c r="E26" s="113"/>
      <c r="F26" s="113"/>
      <c r="G26" s="113"/>
      <c r="H26" s="113"/>
      <c r="I26" s="113"/>
      <c r="J26" s="113"/>
    </row>
    <row r="27" spans="1:10" ht="15" customHeight="1" x14ac:dyDescent="0.2">
      <c r="A27" s="75" t="s">
        <v>379</v>
      </c>
      <c r="B27" s="75" t="s">
        <v>380</v>
      </c>
      <c r="C27" s="75" t="s">
        <v>12</v>
      </c>
    </row>
    <row r="28" spans="1:10" ht="15" customHeight="1" x14ac:dyDescent="0.2">
      <c r="A28" s="7" t="s">
        <v>381</v>
      </c>
      <c r="B28" s="91">
        <f>B5*B19</f>
        <v>4398.6162797556144</v>
      </c>
    </row>
    <row r="29" spans="1:10" ht="15" customHeight="1" x14ac:dyDescent="0.2">
      <c r="A29" s="7" t="s">
        <v>382</v>
      </c>
      <c r="B29" s="91">
        <f>B6*B20</f>
        <v>2186.5924342880412</v>
      </c>
    </row>
    <row r="30" spans="1:10" ht="15" customHeight="1" x14ac:dyDescent="0.2">
      <c r="A30" s="7" t="s">
        <v>383</v>
      </c>
      <c r="B30" s="91">
        <f>(B7*B22-B23)/B24</f>
        <v>5855.6561814833258</v>
      </c>
    </row>
    <row r="31" spans="1:10" ht="15" customHeight="1" x14ac:dyDescent="0.2">
      <c r="A31" s="69" t="s">
        <v>384</v>
      </c>
      <c r="B31" s="86">
        <f>AVERAGE(B28:B30)</f>
        <v>4146.9549651756606</v>
      </c>
    </row>
    <row r="32" spans="1:10" ht="15" customHeight="1" x14ac:dyDescent="0.2">
      <c r="A32" s="7" t="s">
        <v>351</v>
      </c>
      <c r="B32" s="87">
        <f>'Market Data'!C9</f>
        <v>890</v>
      </c>
    </row>
    <row r="33" spans="1:2" ht="15" customHeight="1" x14ac:dyDescent="0.2">
      <c r="A33" s="69" t="s">
        <v>352</v>
      </c>
      <c r="B33" s="79">
        <f>(B31-B32)/B32</f>
        <v>3.6594999608715288</v>
      </c>
    </row>
  </sheetData>
  <mergeCells count="5">
    <mergeCell ref="A1:J1"/>
    <mergeCell ref="A3:J3"/>
    <mergeCell ref="A9:J9"/>
    <mergeCell ref="A17:J17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11" sqref="A11"/>
      <selection pane="bottomRight" sqref="A1:H1"/>
    </sheetView>
  </sheetViews>
  <sheetFormatPr baseColWidth="10" defaultColWidth="8.6640625" defaultRowHeight="15" x14ac:dyDescent="0.2"/>
  <cols>
    <col min="1" max="1" width="46" customWidth="1"/>
    <col min="2" max="2" width="16.5" customWidth="1"/>
    <col min="3" max="3" width="30.33203125" customWidth="1"/>
    <col min="4" max="6" width="14" customWidth="1"/>
    <col min="8" max="8" width="55" customWidth="1"/>
  </cols>
  <sheetData>
    <row r="1" spans="1:8" ht="17.25" customHeight="1" x14ac:dyDescent="0.2">
      <c r="A1" s="112" t="s">
        <v>385</v>
      </c>
      <c r="B1" s="112"/>
      <c r="C1" s="112"/>
      <c r="D1" s="112"/>
      <c r="E1" s="112"/>
      <c r="F1" s="112"/>
      <c r="G1" s="112"/>
      <c r="H1" s="112"/>
    </row>
    <row r="3" spans="1:8" ht="15" customHeight="1" x14ac:dyDescent="0.2">
      <c r="A3" s="113" t="s">
        <v>386</v>
      </c>
      <c r="B3" s="113"/>
      <c r="C3" s="113"/>
      <c r="D3" s="113"/>
      <c r="E3" s="113"/>
      <c r="F3" s="113"/>
      <c r="G3" s="113"/>
      <c r="H3" s="113"/>
    </row>
    <row r="4" spans="1:8" ht="15" customHeight="1" x14ac:dyDescent="0.2">
      <c r="A4" s="75" t="s">
        <v>1</v>
      </c>
      <c r="B4" s="75" t="s">
        <v>387</v>
      </c>
      <c r="C4" s="75" t="s">
        <v>388</v>
      </c>
      <c r="D4" s="75" t="s">
        <v>389</v>
      </c>
    </row>
    <row r="5" spans="1:8" ht="15" customHeight="1" x14ac:dyDescent="0.2">
      <c r="A5" s="7" t="s">
        <v>390</v>
      </c>
      <c r="B5" s="79">
        <f>Forecast!B5-0.15</f>
        <v>6.1825659285950657E-2</v>
      </c>
      <c r="C5" s="92">
        <f>Forecast!B5</f>
        <v>0.21182565928595065</v>
      </c>
      <c r="D5" s="79">
        <f>Forecast!B5+0.1</f>
        <v>0.31182565928595063</v>
      </c>
    </row>
    <row r="6" spans="1:8" ht="15" customHeight="1" x14ac:dyDescent="0.2">
      <c r="A6" s="7" t="s">
        <v>101</v>
      </c>
      <c r="B6" s="79">
        <f>Forecast!B6-0.03</f>
        <v>0.25876101407451502</v>
      </c>
      <c r="C6" s="92">
        <f>Forecast!B6</f>
        <v>0.28876101407451499</v>
      </c>
      <c r="D6" s="79">
        <f>Forecast!B6+0.03</f>
        <v>0.31876101407451496</v>
      </c>
    </row>
    <row r="7" spans="1:8" ht="15" customHeight="1" x14ac:dyDescent="0.2">
      <c r="A7" s="7" t="s">
        <v>391</v>
      </c>
      <c r="B7" s="92">
        <f>Forecast!B7</f>
        <v>8.6948535227673165E-2</v>
      </c>
      <c r="C7" s="92">
        <f>Forecast!B7</f>
        <v>8.6948535227673165E-2</v>
      </c>
      <c r="D7" s="92">
        <f>Forecast!B7</f>
        <v>8.6948535227673165E-2</v>
      </c>
    </row>
    <row r="8" spans="1:8" ht="15" customHeight="1" x14ac:dyDescent="0.2">
      <c r="A8" s="7" t="s">
        <v>392</v>
      </c>
      <c r="B8" s="79">
        <f>'DCF Valuation'!B8+0.015</f>
        <v>0.22317200000000004</v>
      </c>
      <c r="C8" s="92">
        <f>'DCF Valuation'!B8</f>
        <v>0.20817200000000002</v>
      </c>
      <c r="D8" s="79">
        <f>'DCF Valuation'!B8-0.01</f>
        <v>0.19817200000000001</v>
      </c>
    </row>
    <row r="9" spans="1:8" ht="15" customHeight="1" x14ac:dyDescent="0.2">
      <c r="A9" s="7" t="s">
        <v>393</v>
      </c>
      <c r="B9" s="79">
        <f>'DCF Valuation'!B10-0.01</f>
        <v>1.9999999999999997E-2</v>
      </c>
      <c r="C9" s="92">
        <f>'DCF Valuation'!B10</f>
        <v>0.03</v>
      </c>
      <c r="D9" s="79">
        <f>'DCF Valuation'!B10+0.01</f>
        <v>0.04</v>
      </c>
    </row>
    <row r="11" spans="1:8" ht="15" customHeight="1" x14ac:dyDescent="0.2">
      <c r="A11" s="114"/>
      <c r="B11" s="114"/>
      <c r="C11" s="114"/>
      <c r="D11" s="114"/>
      <c r="E11" s="114"/>
      <c r="F11" s="114"/>
      <c r="G11" s="114"/>
      <c r="H11" s="114"/>
    </row>
    <row r="12" spans="1:8" ht="15" customHeight="1" x14ac:dyDescent="0.2">
      <c r="A12" s="114"/>
      <c r="B12" s="114"/>
      <c r="C12" s="114"/>
      <c r="D12" s="114"/>
      <c r="E12" s="114"/>
      <c r="F12" s="114"/>
      <c r="G12" s="114"/>
      <c r="H12" s="114"/>
    </row>
    <row r="13" spans="1:8" ht="15" customHeight="1" x14ac:dyDescent="0.2">
      <c r="A13" s="114"/>
      <c r="B13" s="114"/>
      <c r="C13" s="114"/>
      <c r="D13" s="114"/>
      <c r="E13" s="114"/>
      <c r="F13" s="114"/>
      <c r="G13" s="114"/>
      <c r="H13" s="114"/>
    </row>
    <row r="14" spans="1:8" ht="15" customHeight="1" x14ac:dyDescent="0.2">
      <c r="A14" s="114"/>
      <c r="B14" s="114"/>
      <c r="C14" s="114"/>
      <c r="D14" s="114"/>
      <c r="E14" s="114"/>
      <c r="F14" s="114"/>
      <c r="G14" s="114"/>
      <c r="H14" s="114"/>
    </row>
    <row r="16" spans="1:8" ht="15" customHeight="1" x14ac:dyDescent="0.2">
      <c r="A16" s="113" t="s">
        <v>394</v>
      </c>
      <c r="B16" s="113"/>
      <c r="C16" s="113"/>
      <c r="D16" s="113"/>
      <c r="E16" s="113"/>
      <c r="F16" s="113"/>
      <c r="G16" s="113"/>
      <c r="H16" s="113"/>
    </row>
    <row r="17" spans="1:8" ht="15" customHeight="1" x14ac:dyDescent="0.2">
      <c r="A17" s="75" t="s">
        <v>1</v>
      </c>
      <c r="B17" s="75" t="s">
        <v>333</v>
      </c>
      <c r="C17" s="75" t="s">
        <v>334</v>
      </c>
      <c r="D17" s="75" t="s">
        <v>335</v>
      </c>
      <c r="E17" s="75" t="s">
        <v>336</v>
      </c>
      <c r="F17" s="75" t="s">
        <v>337</v>
      </c>
    </row>
    <row r="18" spans="1:8" ht="15" customHeight="1" x14ac:dyDescent="0.2">
      <c r="A18" s="7" t="s">
        <v>395</v>
      </c>
      <c r="B18" s="84">
        <f>'Income Statement'!K5*(1+$B$5)</f>
        <v>4665.6619469024672</v>
      </c>
      <c r="C18" s="84">
        <f>B18*(1+$B$5)</f>
        <v>4954.1195727750846</v>
      </c>
      <c r="D18" s="84">
        <f>C18*(1+$B$5)</f>
        <v>5260.4112815433373</v>
      </c>
      <c r="E18" s="84">
        <f>D18*(1+$B$5)</f>
        <v>5585.6396771400068</v>
      </c>
      <c r="F18" s="84">
        <f>E18*(1+$B$5)</f>
        <v>5930.9755327129524</v>
      </c>
    </row>
    <row r="19" spans="1:8" ht="15" customHeight="1" x14ac:dyDescent="0.2">
      <c r="A19" s="7" t="s">
        <v>396</v>
      </c>
      <c r="B19" s="84">
        <f>B18*$B$6</f>
        <v>1207.2914167093584</v>
      </c>
      <c r="C19" s="84">
        <f>C18*$B$6</f>
        <v>1281.9330044976839</v>
      </c>
      <c r="D19" s="84">
        <f>D18*$B$6</f>
        <v>1361.1893576611731</v>
      </c>
      <c r="E19" s="84">
        <f>E18*$B$6</f>
        <v>1445.3457871115947</v>
      </c>
      <c r="F19" s="84">
        <f>F18*$B$6</f>
        <v>1534.7052432959404</v>
      </c>
    </row>
    <row r="20" spans="1:8" ht="15" customHeight="1" x14ac:dyDescent="0.2">
      <c r="A20" s="7" t="s">
        <v>397</v>
      </c>
      <c r="B20" s="84">
        <f>-B18*$B$7</f>
        <v>-405.67247215066334</v>
      </c>
      <c r="C20" s="84">
        <f>-C18*$B$7</f>
        <v>-430.75344019553955</v>
      </c>
      <c r="D20" s="84">
        <f>-D18*$B$7</f>
        <v>-457.38505562532021</v>
      </c>
      <c r="E20" s="84">
        <f>-E18*$B$7</f>
        <v>-485.66318823689687</v>
      </c>
      <c r="F20" s="84">
        <f>-F18*$B$7</f>
        <v>-515.68963504055978</v>
      </c>
    </row>
    <row r="21" spans="1:8" ht="15" customHeight="1" x14ac:dyDescent="0.2">
      <c r="A21" s="7" t="s">
        <v>369</v>
      </c>
      <c r="B21" s="84">
        <f>B19+B20</f>
        <v>801.61894455869503</v>
      </c>
      <c r="C21" s="84">
        <f>C19+C20</f>
        <v>851.1795643021444</v>
      </c>
      <c r="D21" s="84">
        <f>D19+D20</f>
        <v>903.80430203585286</v>
      </c>
      <c r="E21" s="84">
        <f>E19+E20</f>
        <v>959.68259887469787</v>
      </c>
      <c r="F21" s="84">
        <f>F19+F20</f>
        <v>1019.0156082553806</v>
      </c>
    </row>
    <row r="22" spans="1:8" ht="15" customHeight="1" x14ac:dyDescent="0.2">
      <c r="A22" s="7" t="s">
        <v>398</v>
      </c>
      <c r="B22" s="84">
        <f>B21*(Forecast!B44/Forecast!B24)</f>
        <v>299.45477691566754</v>
      </c>
      <c r="C22" s="84">
        <f>C21*(Forecast!C44/Forecast!C24)</f>
        <v>317.96876592480612</v>
      </c>
      <c r="D22" s="84">
        <f>D21*(Forecast!D44/Forecast!D24)</f>
        <v>337.62739451044746</v>
      </c>
      <c r="E22" s="84">
        <f>E21*(Forecast!E44/Forecast!E24)</f>
        <v>358.50143076905357</v>
      </c>
      <c r="F22" s="84">
        <f>F21*(Forecast!F44/Forecast!F24)</f>
        <v>380.6660180813069</v>
      </c>
    </row>
    <row r="23" spans="1:8" ht="15" customHeight="1" x14ac:dyDescent="0.2">
      <c r="A23" s="7" t="s">
        <v>340</v>
      </c>
      <c r="B23" s="83">
        <f>1/(1+$B$8)^1</f>
        <v>0.81754651022096647</v>
      </c>
      <c r="C23" s="83">
        <f>1/(1+$B$8)^2</f>
        <v>0.66838229637448099</v>
      </c>
      <c r="D23" s="83">
        <f>1/(1+$B$8)^3</f>
        <v>0.54643361389443268</v>
      </c>
      <c r="E23" s="83">
        <f>1/(1+$B$8)^4</f>
        <v>0.44673489410682449</v>
      </c>
      <c r="F23" s="83">
        <f>1/(1+$B$8)^5</f>
        <v>0.3652265536709674</v>
      </c>
    </row>
    <row r="24" spans="1:8" ht="15" customHeight="1" x14ac:dyDescent="0.2">
      <c r="A24" s="7" t="s">
        <v>341</v>
      </c>
      <c r="B24" s="84">
        <f>B22*B23</f>
        <v>244.81820783640202</v>
      </c>
      <c r="C24" s="84">
        <f>C22*C23</f>
        <v>212.52469394418173</v>
      </c>
      <c r="D24" s="84">
        <f>D22*D23</f>
        <v>184.49095733210515</v>
      </c>
      <c r="E24" s="84">
        <f>E22*E23</f>
        <v>160.15509871175823</v>
      </c>
      <c r="F24" s="84">
        <f>F22*F23</f>
        <v>139.02933788348588</v>
      </c>
    </row>
    <row r="25" spans="1:8" ht="15" customHeight="1" x14ac:dyDescent="0.2">
      <c r="A25" s="7" t="s">
        <v>399</v>
      </c>
      <c r="B25" s="84">
        <f>F22*(1+$B$9)/($B$8-$B$9)*F23</f>
        <v>697.97966570765448</v>
      </c>
    </row>
    <row r="26" spans="1:8" ht="15" customHeight="1" x14ac:dyDescent="0.2">
      <c r="A26" s="69" t="s">
        <v>348</v>
      </c>
      <c r="B26" s="84">
        <f>SUM(B24:F24)+B25</f>
        <v>1638.9979614155875</v>
      </c>
    </row>
    <row r="27" spans="1:8" ht="15" customHeight="1" x14ac:dyDescent="0.2">
      <c r="A27" s="69" t="s">
        <v>400</v>
      </c>
      <c r="B27" s="86">
        <f>B26/Forecast!F18</f>
        <v>387.46996723772747</v>
      </c>
    </row>
    <row r="29" spans="1:8" ht="15" customHeight="1" x14ac:dyDescent="0.2">
      <c r="A29" s="113" t="s">
        <v>401</v>
      </c>
      <c r="B29" s="113"/>
      <c r="C29" s="113"/>
      <c r="D29" s="113"/>
      <c r="E29" s="113"/>
      <c r="F29" s="113"/>
      <c r="G29" s="113"/>
      <c r="H29" s="113"/>
    </row>
    <row r="30" spans="1:8" ht="15" customHeight="1" x14ac:dyDescent="0.2">
      <c r="A30" s="75" t="s">
        <v>1</v>
      </c>
      <c r="B30" s="75" t="s">
        <v>333</v>
      </c>
      <c r="C30" s="75" t="s">
        <v>334</v>
      </c>
      <c r="D30" s="75" t="s">
        <v>335</v>
      </c>
      <c r="E30" s="75" t="s">
        <v>336</v>
      </c>
      <c r="F30" s="75" t="s">
        <v>337</v>
      </c>
    </row>
    <row r="31" spans="1:8" ht="15" customHeight="1" x14ac:dyDescent="0.2">
      <c r="A31" s="7" t="s">
        <v>395</v>
      </c>
      <c r="B31" s="84">
        <f>'Income Statement'!K5*(1+$C$5)</f>
        <v>5324.7619469024676</v>
      </c>
      <c r="C31" s="84">
        <f>B31*(1+$C$5)</f>
        <v>6452.6831568458247</v>
      </c>
      <c r="D31" s="84">
        <f>C31*(1+$C$5)</f>
        <v>7819.5270207080412</v>
      </c>
      <c r="E31" s="84">
        <f>D31*(1+$C$5)</f>
        <v>9475.9034871738277</v>
      </c>
      <c r="F31" s="84">
        <f>E31*(1+$C$5)</f>
        <v>11483.142990674463</v>
      </c>
    </row>
    <row r="32" spans="1:8" ht="15" customHeight="1" x14ac:dyDescent="0.2">
      <c r="A32" s="7" t="s">
        <v>396</v>
      </c>
      <c r="B32" s="84">
        <f>B31*$C$6</f>
        <v>1537.5836594929453</v>
      </c>
      <c r="C32" s="84">
        <f>C31*$C$6</f>
        <v>1863.2833318723431</v>
      </c>
      <c r="D32" s="84">
        <f>D31*$C$6</f>
        <v>2257.974552082725</v>
      </c>
      <c r="E32" s="84">
        <f>E31*$C$6</f>
        <v>2736.2715002285472</v>
      </c>
      <c r="F32" s="84">
        <f>F31*$C$6</f>
        <v>3315.8840147498167</v>
      </c>
    </row>
    <row r="33" spans="1:8" ht="15" customHeight="1" x14ac:dyDescent="0.2">
      <c r="A33" s="7" t="s">
        <v>397</v>
      </c>
      <c r="B33" s="84">
        <f>-B31*$C$7</f>
        <v>-462.98025171922274</v>
      </c>
      <c r="C33" s="84">
        <f>-C31*$C$7</f>
        <v>-561.05134877602245</v>
      </c>
      <c r="D33" s="84">
        <f>-D31*$C$7</f>
        <v>-679.89642062377527</v>
      </c>
      <c r="E33" s="84">
        <f>-E31*$C$7</f>
        <v>-823.91592816856451</v>
      </c>
      <c r="F33" s="84">
        <f>-F31*$C$7</f>
        <v>-998.44246284906671</v>
      </c>
    </row>
    <row r="34" spans="1:8" ht="15" customHeight="1" x14ac:dyDescent="0.2">
      <c r="A34" s="7" t="s">
        <v>369</v>
      </c>
      <c r="B34" s="84">
        <f>B32+B33</f>
        <v>1074.6034077737227</v>
      </c>
      <c r="C34" s="84">
        <f>C32+C33</f>
        <v>1302.2319830963206</v>
      </c>
      <c r="D34" s="84">
        <f>D32+D33</f>
        <v>1578.0781314589499</v>
      </c>
      <c r="E34" s="84">
        <f>E32+E33</f>
        <v>1912.3555720599827</v>
      </c>
      <c r="F34" s="84">
        <f>F32+F33</f>
        <v>2317.4415519007498</v>
      </c>
    </row>
    <row r="35" spans="1:8" ht="15" customHeight="1" x14ac:dyDescent="0.2">
      <c r="A35" s="7" t="s">
        <v>398</v>
      </c>
      <c r="B35" s="84">
        <f>B34*(Forecast!B44/Forecast!B24)</f>
        <v>401.43153543464462</v>
      </c>
      <c r="C35" s="84">
        <f>C34*(Forecast!C44/Forecast!C24)</f>
        <v>486.46503508625983</v>
      </c>
      <c r="D35" s="84">
        <f>D34*(Forecast!D44/Forecast!D24)</f>
        <v>589.51081186297006</v>
      </c>
      <c r="E35" s="84">
        <f>E34*(Forecast!E44/Forecast!E24)</f>
        <v>714.3843282420396</v>
      </c>
      <c r="F35" s="84">
        <f>F34*(Forecast!F44/Forecast!F24)</f>
        <v>865.70925955546056</v>
      </c>
    </row>
    <row r="36" spans="1:8" ht="15" customHeight="1" x14ac:dyDescent="0.2">
      <c r="A36" s="7" t="s">
        <v>340</v>
      </c>
      <c r="B36" s="83">
        <f>1/(1+$C$8)^1</f>
        <v>0.82769671867912842</v>
      </c>
      <c r="C36" s="83">
        <f>1/(1+$C$8)^2</f>
        <v>0.68508185811219635</v>
      </c>
      <c r="D36" s="83">
        <f>1/(1+$C$8)^3</f>
        <v>0.56704000598606519</v>
      </c>
      <c r="E36" s="83">
        <f>1/(1+$C$8)^4</f>
        <v>0.46933715231445944</v>
      </c>
      <c r="F36" s="83">
        <f>1/(1+$C$8)^5</f>
        <v>0.38846882092488444</v>
      </c>
    </row>
    <row r="37" spans="1:8" ht="15" customHeight="1" x14ac:dyDescent="0.2">
      <c r="A37" s="7" t="s">
        <v>341</v>
      </c>
      <c r="B37" s="84">
        <f>B35*B36</f>
        <v>332.26356465357964</v>
      </c>
      <c r="C37" s="84">
        <f>C35*C36</f>
        <v>333.26837014350969</v>
      </c>
      <c r="D37" s="84">
        <f>D35*D36</f>
        <v>334.2762142876287</v>
      </c>
      <c r="E37" s="84">
        <f>E35*E36</f>
        <v>335.28710627519695</v>
      </c>
      <c r="F37" s="84">
        <f>F35*F36</f>
        <v>336.30105532326451</v>
      </c>
    </row>
    <row r="38" spans="1:8" ht="15" customHeight="1" x14ac:dyDescent="0.2">
      <c r="A38" s="7" t="s">
        <v>399</v>
      </c>
      <c r="B38" s="84">
        <f>F35*(1+$C$9)/($C$8-$C$9)*F36</f>
        <v>1944.1331240765237</v>
      </c>
    </row>
    <row r="39" spans="1:8" ht="15" customHeight="1" x14ac:dyDescent="0.2">
      <c r="A39" s="69" t="s">
        <v>348</v>
      </c>
      <c r="B39" s="84">
        <f>SUM(B37:F37)+B38</f>
        <v>3615.5294347597032</v>
      </c>
    </row>
    <row r="40" spans="1:8" ht="15" customHeight="1" x14ac:dyDescent="0.2">
      <c r="A40" s="69" t="s">
        <v>402</v>
      </c>
      <c r="B40" s="86">
        <f>B39/Forecast!F18</f>
        <v>854.73509095974066</v>
      </c>
    </row>
    <row r="42" spans="1:8" ht="15" customHeight="1" x14ac:dyDescent="0.2">
      <c r="A42" s="113" t="s">
        <v>403</v>
      </c>
      <c r="B42" s="113"/>
      <c r="C42" s="113"/>
      <c r="D42" s="113"/>
      <c r="E42" s="113"/>
      <c r="F42" s="113"/>
      <c r="G42" s="113"/>
      <c r="H42" s="113"/>
    </row>
    <row r="43" spans="1:8" ht="15" customHeight="1" x14ac:dyDescent="0.2">
      <c r="A43" s="75" t="s">
        <v>1</v>
      </c>
      <c r="B43" s="75" t="s">
        <v>333</v>
      </c>
      <c r="C43" s="75" t="s">
        <v>334</v>
      </c>
      <c r="D43" s="75" t="s">
        <v>335</v>
      </c>
      <c r="E43" s="75" t="s">
        <v>336</v>
      </c>
      <c r="F43" s="75" t="s">
        <v>337</v>
      </c>
    </row>
    <row r="44" spans="1:8" ht="15" customHeight="1" x14ac:dyDescent="0.2">
      <c r="A44" s="7" t="s">
        <v>395</v>
      </c>
      <c r="B44" s="84">
        <f>'Income Statement'!K5*(1+$D$5)</f>
        <v>5764.1619469024663</v>
      </c>
      <c r="C44" s="84">
        <f>B44*(1+$D$5)</f>
        <v>7561.575546226316</v>
      </c>
      <c r="D44" s="84">
        <f>C44*(1+$D$5)</f>
        <v>9919.4688261688589</v>
      </c>
      <c r="E44" s="84">
        <f>D44*(1+$D$5)</f>
        <v>13012.613732655396</v>
      </c>
      <c r="F44" s="84">
        <f>E44*(1+$D$5)</f>
        <v>17070.28058887408</v>
      </c>
    </row>
    <row r="45" spans="1:8" ht="15" customHeight="1" x14ac:dyDescent="0.2">
      <c r="A45" s="7" t="s">
        <v>396</v>
      </c>
      <c r="B45" s="84">
        <f>B44*$D$6</f>
        <v>1837.3901074843607</v>
      </c>
      <c r="C45" s="84">
        <f>C44*$D$6</f>
        <v>2410.3354891161548</v>
      </c>
      <c r="D45" s="84">
        <f>D44*$D$6</f>
        <v>3161.9399421101239</v>
      </c>
      <c r="E45" s="84">
        <f>E44*$D$6</f>
        <v>4147.9139491811929</v>
      </c>
      <c r="F45" s="84">
        <f>F44*$D$6</f>
        <v>5441.3399510460104</v>
      </c>
    </row>
    <row r="46" spans="1:8" ht="15" customHeight="1" x14ac:dyDescent="0.2">
      <c r="A46" s="7" t="s">
        <v>397</v>
      </c>
      <c r="B46" s="84">
        <f>-B44*$D$7</f>
        <v>-501.18543809826224</v>
      </c>
      <c r="C46" s="84">
        <f>-C44*$D$7</f>
        <v>-657.46791775777081</v>
      </c>
      <c r="D46" s="84">
        <f>-D44*$D$7</f>
        <v>-862.48328467194881</v>
      </c>
      <c r="E46" s="84">
        <f>-E44*$D$7</f>
        <v>-1131.4277035378914</v>
      </c>
      <c r="F46" s="84">
        <f>-F44*$D$7</f>
        <v>-1484.2358931279834</v>
      </c>
    </row>
    <row r="47" spans="1:8" ht="15" customHeight="1" x14ac:dyDescent="0.2">
      <c r="A47" s="7" t="s">
        <v>369</v>
      </c>
      <c r="B47" s="84">
        <f>B45+B46</f>
        <v>1336.2046693860984</v>
      </c>
      <c r="C47" s="84">
        <f>C45+C46</f>
        <v>1752.8675713583839</v>
      </c>
      <c r="D47" s="84">
        <f>D45+D46</f>
        <v>2299.4566574381752</v>
      </c>
      <c r="E47" s="84">
        <f>E45+E46</f>
        <v>3016.4862456433016</v>
      </c>
      <c r="F47" s="84">
        <f>F45+F46</f>
        <v>3957.1040579180271</v>
      </c>
    </row>
    <row r="48" spans="1:8" ht="15" customHeight="1" x14ac:dyDescent="0.2">
      <c r="A48" s="7" t="s">
        <v>398</v>
      </c>
      <c r="B48" s="84">
        <f>B47*(Forecast!B44/Forecast!B24)</f>
        <v>499.15595670579791</v>
      </c>
      <c r="C48" s="84">
        <f>C47*(Forecast!C44/Forecast!C24)</f>
        <v>654.8055919920929</v>
      </c>
      <c r="D48" s="84">
        <f>D47*(Forecast!D44/Forecast!D24)</f>
        <v>858.99077741915448</v>
      </c>
      <c r="E48" s="84">
        <f>E47*(Forecast!E44/Forecast!E24)</f>
        <v>1126.8461429084332</v>
      </c>
      <c r="F48" s="84">
        <f>F47*(Forecast!F44/Forecast!F24)</f>
        <v>1478.2256843346863</v>
      </c>
    </row>
    <row r="49" spans="1:8" ht="15" customHeight="1" x14ac:dyDescent="0.2">
      <c r="A49" s="7" t="s">
        <v>340</v>
      </c>
      <c r="B49" s="83">
        <f>1/(1+$D$8)^1</f>
        <v>0.83460471451511131</v>
      </c>
      <c r="C49" s="83">
        <f>1/(1+$D$8)^2</f>
        <v>0.69656502949085053</v>
      </c>
      <c r="D49" s="83">
        <f>1/(1+$D$8)^3</f>
        <v>0.58135645757942134</v>
      </c>
      <c r="E49" s="83">
        <f>1/(1+$D$8)^4</f>
        <v>0.48520284030958943</v>
      </c>
      <c r="F49" s="83">
        <f>1/(1+$D$8)^5</f>
        <v>0.40495257801850604</v>
      </c>
    </row>
    <row r="50" spans="1:8" ht="15" customHeight="1" x14ac:dyDescent="0.2">
      <c r="A50" s="7" t="s">
        <v>341</v>
      </c>
      <c r="B50" s="84">
        <f>B48*B49</f>
        <v>416.59791474495972</v>
      </c>
      <c r="C50" s="84">
        <f>C48*C49</f>
        <v>456.11467649674603</v>
      </c>
      <c r="D50" s="84">
        <f>D48*D49</f>
        <v>499.37983545379285</v>
      </c>
      <c r="E50" s="84">
        <f>E48*E49</f>
        <v>546.74894913107732</v>
      </c>
      <c r="F50" s="84">
        <f>F48*F49</f>
        <v>598.61130176450149</v>
      </c>
    </row>
    <row r="51" spans="1:8" ht="15" customHeight="1" x14ac:dyDescent="0.2">
      <c r="A51" s="7" t="s">
        <v>399</v>
      </c>
      <c r="B51" s="84">
        <f>F48*(1+$D$9)/($D$8-$D$9)*F49</f>
        <v>3935.9415941827983</v>
      </c>
    </row>
    <row r="52" spans="1:8" ht="15" customHeight="1" x14ac:dyDescent="0.2">
      <c r="A52" s="69" t="s">
        <v>348</v>
      </c>
      <c r="B52" s="84">
        <f>SUM(B50:F50)+B51</f>
        <v>6453.3942717738755</v>
      </c>
    </row>
    <row r="53" spans="1:8" ht="15" customHeight="1" x14ac:dyDescent="0.2">
      <c r="A53" s="69" t="s">
        <v>404</v>
      </c>
      <c r="B53" s="86">
        <f>B52/Forecast!F18</f>
        <v>1525.6251233507978</v>
      </c>
    </row>
    <row r="56" spans="1:8" ht="15" customHeight="1" x14ac:dyDescent="0.2">
      <c r="A56" s="113" t="s">
        <v>405</v>
      </c>
      <c r="B56" s="113"/>
      <c r="C56" s="113"/>
      <c r="D56" s="113"/>
      <c r="E56" s="113"/>
      <c r="F56" s="113"/>
      <c r="G56" s="113"/>
      <c r="H56" s="113"/>
    </row>
    <row r="57" spans="1:8" ht="15" customHeight="1" x14ac:dyDescent="0.2">
      <c r="A57" s="75" t="s">
        <v>406</v>
      </c>
      <c r="B57" s="75" t="s">
        <v>407</v>
      </c>
      <c r="C57" s="75" t="s">
        <v>408</v>
      </c>
    </row>
    <row r="58" spans="1:8" ht="15" customHeight="1" x14ac:dyDescent="0.2">
      <c r="A58" s="7" t="s">
        <v>387</v>
      </c>
      <c r="B58" s="91">
        <f>B27</f>
        <v>387.46996723772747</v>
      </c>
      <c r="C58" s="79">
        <f>(B58-'Market Data'!C9)/'Market Data'!C9</f>
        <v>-0.56464048624974439</v>
      </c>
    </row>
    <row r="59" spans="1:8" ht="15" customHeight="1" x14ac:dyDescent="0.2">
      <c r="A59" s="7" t="s">
        <v>388</v>
      </c>
      <c r="B59" s="91">
        <f>B40</f>
        <v>854.73509095974066</v>
      </c>
      <c r="C59" s="79">
        <f>(B59-'Market Data'!C9)/'Market Data'!C9</f>
        <v>-3.9623493303662181E-2</v>
      </c>
    </row>
    <row r="60" spans="1:8" ht="15" customHeight="1" x14ac:dyDescent="0.2">
      <c r="A60" s="7" t="s">
        <v>389</v>
      </c>
      <c r="B60" s="91">
        <f>B53</f>
        <v>1525.6251233507978</v>
      </c>
      <c r="C60" s="79">
        <f>(B60-'Market Data'!C9)/'Market Data'!C9</f>
        <v>0.71418553185482903</v>
      </c>
    </row>
    <row r="62" spans="1:8" ht="15" customHeight="1" x14ac:dyDescent="0.2">
      <c r="A62" s="93"/>
    </row>
  </sheetData>
  <mergeCells count="7">
    <mergeCell ref="A42:H42"/>
    <mergeCell ref="A56:H56"/>
    <mergeCell ref="A1:H1"/>
    <mergeCell ref="A3:H3"/>
    <mergeCell ref="A11:H14"/>
    <mergeCell ref="A16:H16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I1"/>
    </sheetView>
  </sheetViews>
  <sheetFormatPr baseColWidth="10" defaultColWidth="8.6640625" defaultRowHeight="15" x14ac:dyDescent="0.2"/>
  <cols>
    <col min="1" max="1" width="50.6640625" customWidth="1"/>
    <col min="2" max="7" width="14" customWidth="1"/>
    <col min="9" max="9" width="55" customWidth="1"/>
  </cols>
  <sheetData>
    <row r="1" spans="1:9" ht="17.25" customHeight="1" x14ac:dyDescent="0.2">
      <c r="A1" s="112" t="s">
        <v>409</v>
      </c>
      <c r="B1" s="112"/>
      <c r="C1" s="112"/>
      <c r="D1" s="112"/>
      <c r="E1" s="112"/>
      <c r="F1" s="112"/>
      <c r="G1" s="112"/>
      <c r="H1" s="112"/>
      <c r="I1" s="112"/>
    </row>
    <row r="3" spans="1:9" ht="15" customHeight="1" x14ac:dyDescent="0.2">
      <c r="A3" s="113" t="s">
        <v>410</v>
      </c>
      <c r="B3" s="113"/>
      <c r="C3" s="113"/>
      <c r="D3" s="113"/>
      <c r="E3" s="113"/>
      <c r="F3" s="113"/>
      <c r="G3" s="113"/>
      <c r="H3" s="113"/>
      <c r="I3" s="113"/>
    </row>
    <row r="4" spans="1:9" ht="15" customHeight="1" x14ac:dyDescent="0.2">
      <c r="A4" s="114" t="s">
        <v>411</v>
      </c>
      <c r="B4" s="114"/>
      <c r="C4" s="114"/>
      <c r="D4" s="114"/>
      <c r="E4" s="114"/>
      <c r="F4" s="114"/>
      <c r="G4" s="114"/>
      <c r="H4" s="114"/>
      <c r="I4" s="114"/>
    </row>
    <row r="5" spans="1:9" ht="15" customHeight="1" x14ac:dyDescent="0.2">
      <c r="A5" s="114"/>
      <c r="B5" s="114"/>
      <c r="C5" s="114"/>
      <c r="D5" s="114"/>
      <c r="E5" s="114"/>
      <c r="F5" s="114"/>
      <c r="G5" s="114"/>
      <c r="H5" s="114"/>
      <c r="I5" s="114"/>
    </row>
    <row r="7" spans="1:9" ht="15" customHeight="1" x14ac:dyDescent="0.2">
      <c r="A7" s="94" t="s">
        <v>412</v>
      </c>
      <c r="B7" s="80"/>
      <c r="C7" s="95">
        <f>'DCF Valuation'!$B$10-0.01</f>
        <v>1.9999999999999997E-2</v>
      </c>
      <c r="D7" s="95">
        <f>'DCF Valuation'!$B$10-0.005</f>
        <v>2.4999999999999998E-2</v>
      </c>
      <c r="E7" s="95">
        <f>'DCF Valuation'!$B$10</f>
        <v>0.03</v>
      </c>
      <c r="F7" s="95">
        <f>'DCF Valuation'!$B$10+0.005</f>
        <v>3.4999999999999996E-2</v>
      </c>
      <c r="G7" s="95">
        <f>'DCF Valuation'!$B$10+0.01</f>
        <v>0.04</v>
      </c>
    </row>
    <row r="8" spans="1:9" ht="15" customHeight="1" x14ac:dyDescent="0.2">
      <c r="B8" s="95">
        <f>'DCF Valuation'!$B$8-0.02</f>
        <v>0.18817200000000003</v>
      </c>
      <c r="C8" s="91">
        <f>(Forecast!$B$44/(1+$B8)^1+Forecast!$C$44/(1+$B8)^2+Forecast!$D$44/(1+$B8)^3+Forecast!$E$44/(1+$B8)^4+Forecast!$F$44/(1+$B8)^5+(Forecast!$F$44*(1+C$7)/($B8-C$7))/(1+$B8)^5)/'DCF Valuation'!$B$29</f>
        <v>1254.5761560596277</v>
      </c>
      <c r="D8" s="91">
        <f>(Forecast!$B$44/(1+$B8)^1+Forecast!$C$44/(1+$B8)^2+Forecast!$D$44/(1+$B8)^3+Forecast!$E$44/(1+$B8)^4+Forecast!$F$44/(1+$B8)^5+(Forecast!$F$44*(1+D$7)/($B8-D$7))/(1+$B8)^5)/'DCF Valuation'!$B$29</f>
        <v>1281.3918767519424</v>
      </c>
      <c r="E8" s="91">
        <f>(Forecast!$B$44/(1+$B8)^1+Forecast!$C$44/(1+$B8)^2+Forecast!$D$44/(1+$B8)^3+Forecast!$E$44/(1+$B8)^4+Forecast!$F$44/(1+$B8)^5+(Forecast!$F$44*(1+E$7)/($B8-E$7))/(1+$B8)^5)/'DCF Valuation'!$B$29</f>
        <v>1309.9029493834323</v>
      </c>
      <c r="F8" s="91">
        <f>(Forecast!$B$44/(1+$B8)^1+Forecast!$C$44/(1+$B8)^2+Forecast!$D$44/(1+$B8)^3+Forecast!$E$44/(1+$B8)^4+Forecast!$F$44/(1+$B8)^5+(Forecast!$F$44*(1+F$7)/($B8-F$7))/(1+$B8)^5)/'DCF Valuation'!$B$29</f>
        <v>1340.2753982867921</v>
      </c>
      <c r="G8" s="91">
        <f>(Forecast!$B$44/(1+$B8)^1+Forecast!$C$44/(1+$B8)^2+Forecast!$D$44/(1+$B8)^3+Forecast!$E$44/(1+$B8)^4+Forecast!$F$44/(1+$B8)^5+(Forecast!$F$44*(1+G$7)/($B8-G$7))/(1+$B8)^5)/'DCF Valuation'!$B$29</f>
        <v>1372.6976574716737</v>
      </c>
    </row>
    <row r="9" spans="1:9" ht="15" customHeight="1" x14ac:dyDescent="0.2">
      <c r="B9" s="95">
        <f>'DCF Valuation'!$B$8-0.01</f>
        <v>0.19817200000000001</v>
      </c>
      <c r="C9" s="91">
        <f>(Forecast!$B$44/(1+$B9)^1+Forecast!$C$44/(1+$B9)^2+Forecast!$D$44/(1+$B9)^3+Forecast!$E$44/(1+$B9)^4+Forecast!$F$44/(1+$B9)^5+(Forecast!$F$44*(1+C$7)/($B9-C$7))/(1+$B9)^5)/'DCF Valuation'!$B$29</f>
        <v>1169.9506708210995</v>
      </c>
      <c r="D9" s="91">
        <f>(Forecast!$B$44/(1+$B9)^1+Forecast!$C$44/(1+$B9)^2+Forecast!$D$44/(1+$B9)^3+Forecast!$E$44/(1+$B9)^4+Forecast!$F$44/(1+$B9)^5+(Forecast!$F$44*(1+D$7)/($B9-D$7))/(1+$B9)^5)/'DCF Valuation'!$B$29</f>
        <v>1193.0134829369433</v>
      </c>
      <c r="E9" s="91">
        <f>(Forecast!$B$44/(1+$B9)^1+Forecast!$C$44/(1+$B9)^2+Forecast!$D$44/(1+$B9)^3+Forecast!$E$44/(1+$B9)^4+Forecast!$F$44/(1+$B9)^5+(Forecast!$F$44*(1+E$7)/($B9-E$7))/(1+$B9)^5)/'DCF Valuation'!$B$29</f>
        <v>1217.4476774538909</v>
      </c>
      <c r="F9" s="91">
        <f>(Forecast!$B$44/(1+$B9)^1+Forecast!$C$44/(1+$B9)^2+Forecast!$D$44/(1+$B9)^3+Forecast!$E$44/(1+$B9)^4+Forecast!$F$44/(1+$B9)^5+(Forecast!$F$44*(1+F$7)/($B9-F$7))/(1+$B9)^5)/'DCF Valuation'!$B$29</f>
        <v>1243.3793221777946</v>
      </c>
      <c r="G9" s="91">
        <f>(Forecast!$B$44/(1+$B9)^1+Forecast!$C$44/(1+$B9)^2+Forecast!$D$44/(1+$B9)^3+Forecast!$E$44/(1+$B9)^4+Forecast!$F$44/(1+$B9)^5+(Forecast!$F$44*(1+G$7)/($B9-G$7))/(1+$B9)^5)/'DCF Valuation'!$B$29</f>
        <v>1270.9504255115603</v>
      </c>
    </row>
    <row r="10" spans="1:9" ht="15" customHeight="1" x14ac:dyDescent="0.2">
      <c r="B10" s="95">
        <f>'DCF Valuation'!$B$8</f>
        <v>0.20817200000000002</v>
      </c>
      <c r="C10" s="91">
        <f>(Forecast!$B$44/(1+$B10)^1+Forecast!$C$44/(1+$B10)^2+Forecast!$D$44/(1+$B10)^3+Forecast!$E$44/(1+$B10)^4+Forecast!$F$44/(1+$B10)^5+(Forecast!$F$44*(1+C$7)/($B10-C$7))/(1+$B10)^5)/'DCF Valuation'!$B$29</f>
        <v>1094.7721562789227</v>
      </c>
      <c r="D10" s="91">
        <f>(Forecast!$B$44/(1+$B10)^1+Forecast!$C$44/(1+$B10)^2+Forecast!$D$44/(1+$B10)^3+Forecast!$E$44/(1+$B10)^4+Forecast!$F$44/(1+$B10)^5+(Forecast!$F$44*(1+D$7)/($B10-D$7))/(1+$B10)^5)/'DCF Valuation'!$B$29</f>
        <v>1114.7421027125472</v>
      </c>
      <c r="E10" s="86">
        <f>(Forecast!$B$44/(1+$B10)^1+Forecast!$C$44/(1+$B10)^2+Forecast!$D$44/(1+$B10)^3+Forecast!$E$44/(1+$B10)^4+Forecast!$F$44/(1+$B10)^5+(Forecast!$F$44*(1+E$7)/($B10-E$7))/(1+$B10)^5)/'DCF Valuation'!$B$29</f>
        <v>1135.8328732057112</v>
      </c>
      <c r="F10" s="91">
        <f>(Forecast!$B$44/(1+$B10)^1+Forecast!$C$44/(1+$B10)^2+Forecast!$D$44/(1+$B10)^3+Forecast!$E$44/(1+$B10)^4+Forecast!$F$44/(1+$B10)^5+(Forecast!$F$44*(1+F$7)/($B10-F$7))/(1+$B10)^5)/'DCF Valuation'!$B$29</f>
        <v>1158.1415525116834</v>
      </c>
      <c r="G10" s="91">
        <f>(Forecast!$B$44/(1+$B10)^1+Forecast!$C$44/(1+$B10)^2+Forecast!$D$44/(1+$B10)^3+Forecast!$E$44/(1+$B10)^4+Forecast!$F$44/(1+$B10)^5+(Forecast!$F$44*(1+G$7)/($B10-G$7))/(1+$B10)^5)/'DCF Valuation'!$B$29</f>
        <v>1181.7767712716654</v>
      </c>
    </row>
    <row r="11" spans="1:9" ht="15" customHeight="1" x14ac:dyDescent="0.2">
      <c r="B11" s="95">
        <f>'DCF Valuation'!$B$8+0.01</f>
        <v>0.21817200000000003</v>
      </c>
      <c r="C11" s="91">
        <f>(Forecast!$B$44/(1+$B11)^1+Forecast!$C$44/(1+$B11)^2+Forecast!$D$44/(1+$B11)^3+Forecast!$E$44/(1+$B11)^4+Forecast!$F$44/(1+$B11)^5+(Forecast!$F$44*(1+C$7)/($B11-C$7))/(1+$B11)^5)/'DCF Valuation'!$B$29</f>
        <v>1027.5918983600172</v>
      </c>
      <c r="D11" s="91">
        <f>(Forecast!$B$44/(1+$B11)^1+Forecast!$C$44/(1+$B11)^2+Forecast!$D$44/(1+$B11)^3+Forecast!$E$44/(1+$B11)^4+Forecast!$F$44/(1+$B11)^5+(Forecast!$F$44*(1+D$7)/($B11-D$7))/(1+$B11)^5)/'DCF Valuation'!$B$29</f>
        <v>1044.9893298085094</v>
      </c>
      <c r="E11" s="91">
        <f>(Forecast!$B$44/(1+$B11)^1+Forecast!$C$44/(1+$B11)^2+Forecast!$D$44/(1+$B11)^3+Forecast!$E$44/(1+$B11)^4+Forecast!$F$44/(1+$B11)^5+(Forecast!$F$44*(1+E$7)/($B11-E$7))/(1+$B11)^5)/'DCF Valuation'!$B$29</f>
        <v>1063.3113106824471</v>
      </c>
      <c r="F11" s="91">
        <f>(Forecast!$B$44/(1+$B11)^1+Forecast!$C$44/(1+$B11)^2+Forecast!$D$44/(1+$B11)^3+Forecast!$E$44/(1+$B11)^4+Forecast!$F$44/(1+$B11)^5+(Forecast!$F$44*(1+F$7)/($B11-F$7))/(1+$B11)^5)/'DCF Valuation'!$B$29</f>
        <v>1082.6335525610104</v>
      </c>
      <c r="G11" s="91">
        <f>(Forecast!$B$44/(1+$B11)^1+Forecast!$C$44/(1+$B11)^2+Forecast!$D$44/(1+$B11)^3+Forecast!$E$44/(1+$B11)^4+Forecast!$F$44/(1+$B11)^5+(Forecast!$F$44*(1+G$7)/($B11-G$7))/(1+$B11)^5)/'DCF Valuation'!$B$29</f>
        <v>1103.0402657301565</v>
      </c>
    </row>
    <row r="12" spans="1:9" ht="15" customHeight="1" x14ac:dyDescent="0.2">
      <c r="B12" s="95">
        <f>'DCF Valuation'!$B$8+0.02</f>
        <v>0.22817200000000001</v>
      </c>
      <c r="C12" s="91">
        <f>(Forecast!$B$44/(1+$B12)^1+Forecast!$C$44/(1+$B12)^2+Forecast!$D$44/(1+$B12)^3+Forecast!$E$44/(1+$B12)^4+Forecast!$F$44/(1+$B12)^5+(Forecast!$F$44*(1+C$7)/($B12-C$7))/(1+$B12)^5)/'DCF Valuation'!$B$29</f>
        <v>967.24047311624054</v>
      </c>
      <c r="D12" s="91">
        <f>(Forecast!$B$44/(1+$B12)^1+Forecast!$C$44/(1+$B12)^2+Forecast!$D$44/(1+$B12)^3+Forecast!$E$44/(1+$B12)^4+Forecast!$F$44/(1+$B12)^5+(Forecast!$F$44*(1+D$7)/($B12-D$7))/(1+$B12)^5)/'DCF Valuation'!$B$29</f>
        <v>982.48040814551484</v>
      </c>
      <c r="E12" s="91">
        <f>(Forecast!$B$44/(1+$B12)^1+Forecast!$C$44/(1+$B12)^2+Forecast!$D$44/(1+$B12)^3+Forecast!$E$44/(1+$B12)^4+Forecast!$F$44/(1+$B12)^5+(Forecast!$F$44*(1+E$7)/($B12-E$7))/(1+$B12)^5)/'DCF Valuation'!$B$29</f>
        <v>998.4893688206563</v>
      </c>
      <c r="F12" s="91">
        <f>(Forecast!$B$44/(1+$B12)^1+Forecast!$C$44/(1+$B12)^2+Forecast!$D$44/(1+$B12)^3+Forecast!$E$44/(1+$B12)^4+Forecast!$F$44/(1+$B12)^5+(Forecast!$F$44*(1+F$7)/($B12-F$7))/(1+$B12)^5)/'DCF Valuation'!$B$29</f>
        <v>1015.3270707561843</v>
      </c>
      <c r="G12" s="91">
        <f>(Forecast!$B$44/(1+$B12)^1+Forecast!$C$44/(1+$B12)^2+Forecast!$D$44/(1+$B12)^3+Forecast!$E$44/(1+$B12)^4+Forecast!$F$44/(1+$B12)^5+(Forecast!$F$44*(1+G$7)/($B12-G$7))/(1+$B12)^5)/'DCF Valuation'!$B$29</f>
        <v>1033.0595764848126</v>
      </c>
    </row>
    <row r="15" spans="1:9" ht="15" customHeight="1" x14ac:dyDescent="0.2">
      <c r="A15" s="114" t="s">
        <v>413</v>
      </c>
      <c r="B15" s="114"/>
      <c r="C15" s="114"/>
      <c r="D15" s="114"/>
      <c r="E15" s="114"/>
      <c r="F15" s="114"/>
      <c r="G15" s="114"/>
      <c r="H15" s="114"/>
      <c r="I15" s="114"/>
    </row>
    <row r="16" spans="1:9" ht="15" customHeight="1" x14ac:dyDescent="0.2">
      <c r="A16" s="114"/>
      <c r="B16" s="114"/>
      <c r="C16" s="114"/>
      <c r="D16" s="114"/>
      <c r="E16" s="114"/>
      <c r="F16" s="114"/>
      <c r="G16" s="114"/>
      <c r="H16" s="114"/>
      <c r="I16" s="114"/>
    </row>
    <row r="18" spans="1:2" ht="15" customHeight="1" x14ac:dyDescent="0.2">
      <c r="A18" s="7" t="s">
        <v>414</v>
      </c>
      <c r="B18" s="87">
        <f>'DCF Valuation'!B30</f>
        <v>1135.8328732057114</v>
      </c>
    </row>
  </sheetData>
  <mergeCells count="4">
    <mergeCell ref="A1:I1"/>
    <mergeCell ref="A3:I3"/>
    <mergeCell ref="A4:I5"/>
    <mergeCell ref="A15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baseColWidth="10" defaultColWidth="8.6640625" defaultRowHeight="15" x14ac:dyDescent="0.2"/>
  <cols>
    <col min="1" max="1" width="46" customWidth="1"/>
    <col min="2" max="4" width="16" customWidth="1"/>
    <col min="6" max="6" width="55" customWidth="1"/>
  </cols>
  <sheetData>
    <row r="1" spans="1:6" ht="17.25" customHeight="1" x14ac:dyDescent="0.2">
      <c r="A1" s="112" t="s">
        <v>415</v>
      </c>
      <c r="B1" s="112"/>
      <c r="C1" s="112"/>
      <c r="D1" s="112"/>
      <c r="E1" s="112"/>
      <c r="F1" s="112"/>
    </row>
    <row r="3" spans="1:6" ht="15" customHeight="1" x14ac:dyDescent="0.2">
      <c r="A3" s="113" t="s">
        <v>416</v>
      </c>
      <c r="B3" s="113"/>
      <c r="C3" s="113"/>
      <c r="D3" s="113"/>
      <c r="E3" s="113"/>
      <c r="F3" s="113"/>
    </row>
    <row r="4" spans="1:6" ht="15" customHeight="1" x14ac:dyDescent="0.2">
      <c r="A4" s="75" t="s">
        <v>379</v>
      </c>
      <c r="B4" s="75" t="s">
        <v>417</v>
      </c>
      <c r="C4" s="75" t="s">
        <v>418</v>
      </c>
      <c r="F4" s="75" t="s">
        <v>12</v>
      </c>
    </row>
    <row r="5" spans="1:6" ht="21.75" customHeight="1" x14ac:dyDescent="0.2">
      <c r="A5" s="7" t="s">
        <v>419</v>
      </c>
      <c r="B5" s="87">
        <f>'DCF Valuation'!B30</f>
        <v>1135.8328732057114</v>
      </c>
      <c r="C5" s="76">
        <v>0.6</v>
      </c>
      <c r="F5" s="1"/>
    </row>
    <row r="6" spans="1:6" ht="15" customHeight="1" x14ac:dyDescent="0.2">
      <c r="A6" s="7" t="s">
        <v>420</v>
      </c>
      <c r="B6" s="87">
        <f>'Relative Valuation'!B31</f>
        <v>4146.9549651756606</v>
      </c>
      <c r="C6" s="76">
        <v>0.4</v>
      </c>
    </row>
    <row r="7" spans="1:6" ht="15" customHeight="1" x14ac:dyDescent="0.2">
      <c r="A7" s="69" t="s">
        <v>421</v>
      </c>
      <c r="B7" s="86">
        <f>SUMPRODUCT(B5:B6,C5:C6)/SUM(C5:C6)</f>
        <v>2340.281709993691</v>
      </c>
    </row>
    <row r="9" spans="1:6" ht="15" customHeight="1" x14ac:dyDescent="0.2">
      <c r="A9" s="7" t="s">
        <v>351</v>
      </c>
      <c r="B9" s="87">
        <f>'Market Data'!C9</f>
        <v>890</v>
      </c>
    </row>
    <row r="10" spans="1:6" ht="15" customHeight="1" x14ac:dyDescent="0.2">
      <c r="A10" s="69" t="s">
        <v>422</v>
      </c>
      <c r="B10" s="79">
        <f>(B7-B9)/B9</f>
        <v>1.6295300112288664</v>
      </c>
    </row>
    <row r="12" spans="1:6" ht="15" customHeight="1" x14ac:dyDescent="0.2">
      <c r="A12" s="113" t="s">
        <v>423</v>
      </c>
      <c r="B12" s="113"/>
      <c r="C12" s="113"/>
      <c r="D12" s="113"/>
      <c r="E12" s="113"/>
      <c r="F12" s="113"/>
    </row>
    <row r="13" spans="1:6" ht="15" customHeight="1" x14ac:dyDescent="0.2">
      <c r="A13" s="75" t="s">
        <v>406</v>
      </c>
      <c r="B13" s="75" t="s">
        <v>407</v>
      </c>
      <c r="C13" s="75" t="s">
        <v>424</v>
      </c>
    </row>
    <row r="14" spans="1:6" ht="15" customHeight="1" x14ac:dyDescent="0.2">
      <c r="A14" s="7" t="s">
        <v>387</v>
      </c>
      <c r="B14" s="87">
        <f>'Scenario Analysis'!B27</f>
        <v>387.46996723772747</v>
      </c>
      <c r="C14" s="79">
        <f>(B14-B9)/B9</f>
        <v>-0.56464048624974439</v>
      </c>
    </row>
    <row r="15" spans="1:6" ht="15" customHeight="1" x14ac:dyDescent="0.2">
      <c r="A15" s="7" t="s">
        <v>388</v>
      </c>
      <c r="B15" s="87">
        <f>'Scenario Analysis'!B40</f>
        <v>854.73509095974066</v>
      </c>
      <c r="C15" s="79">
        <f>(B15-B9)/B9</f>
        <v>-3.9623493303662181E-2</v>
      </c>
    </row>
    <row r="16" spans="1:6" ht="15" customHeight="1" x14ac:dyDescent="0.2">
      <c r="A16" s="7" t="s">
        <v>389</v>
      </c>
      <c r="B16" s="87">
        <f>'Scenario Analysis'!B53</f>
        <v>1525.6251233507978</v>
      </c>
      <c r="C16" s="79">
        <f>(B16-B9)/B9</f>
        <v>0.71418553185482903</v>
      </c>
    </row>
    <row r="18" spans="1:6" ht="15" customHeight="1" x14ac:dyDescent="0.2">
      <c r="A18" s="113" t="s">
        <v>425</v>
      </c>
      <c r="B18" s="113"/>
      <c r="C18" s="113"/>
      <c r="D18" s="113"/>
      <c r="E18" s="113"/>
      <c r="F18" s="113"/>
    </row>
    <row r="19" spans="1:6" ht="15" customHeight="1" x14ac:dyDescent="0.2">
      <c r="A19" s="75" t="s">
        <v>1</v>
      </c>
      <c r="B19" s="75" t="s">
        <v>322</v>
      </c>
      <c r="C19" s="75" t="s">
        <v>323</v>
      </c>
      <c r="F19" s="75" t="s">
        <v>12</v>
      </c>
    </row>
    <row r="20" spans="1:6" ht="15" customHeight="1" x14ac:dyDescent="0.2">
      <c r="A20" s="7" t="s">
        <v>426</v>
      </c>
      <c r="B20" s="76">
        <v>0.15</v>
      </c>
      <c r="F20" s="1"/>
    </row>
    <row r="21" spans="1:6" ht="21.75" customHeight="1" x14ac:dyDescent="0.2">
      <c r="A21" s="7" t="s">
        <v>427</v>
      </c>
      <c r="B21" s="76">
        <v>-0.1</v>
      </c>
      <c r="F21" s="1"/>
    </row>
    <row r="22" spans="1:6" ht="15" customHeight="1" x14ac:dyDescent="0.2">
      <c r="A22" s="69" t="s">
        <v>428</v>
      </c>
      <c r="B22" s="96" t="str">
        <f>IF(B10&gt;=B20,"BUY",IF(B10&lt;=B21,"SELL","HOLD"))</f>
        <v>BUY</v>
      </c>
    </row>
  </sheetData>
  <mergeCells count="4">
    <mergeCell ref="A1:F1"/>
    <mergeCell ref="A3:F3"/>
    <mergeCell ref="A12:F12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"/>
  <sheetViews>
    <sheetView showGridLines="0" zoomScaleNormal="100" workbookViewId="0">
      <selection sqref="A1:K1"/>
    </sheetView>
  </sheetViews>
  <sheetFormatPr baseColWidth="10" defaultColWidth="8.6640625" defaultRowHeight="15" outlineLevelRow="1" x14ac:dyDescent="0.2"/>
  <cols>
    <col min="1" max="1" width="30" customWidth="1"/>
    <col min="2" max="11" width="12" customWidth="1"/>
  </cols>
  <sheetData>
    <row r="1" spans="1:11" ht="17.25" customHeight="1" x14ac:dyDescent="0.2">
      <c r="A1" s="112" t="s">
        <v>429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3" spans="1:11" ht="15" customHeight="1" x14ac:dyDescent="0.2">
      <c r="A3" s="113" t="s">
        <v>430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4" spans="1:11" ht="23.25" customHeight="1" x14ac:dyDescent="0.2">
      <c r="B4" s="97" t="s">
        <v>431</v>
      </c>
      <c r="C4" s="97" t="s">
        <v>407</v>
      </c>
      <c r="D4" s="97" t="s">
        <v>424</v>
      </c>
      <c r="E4" s="97" t="s">
        <v>432</v>
      </c>
      <c r="F4" s="97" t="s">
        <v>433</v>
      </c>
      <c r="G4" s="97" t="s">
        <v>434</v>
      </c>
      <c r="H4" s="97" t="s">
        <v>435</v>
      </c>
    </row>
    <row r="5" spans="1:11" ht="15" customHeight="1" x14ac:dyDescent="0.2">
      <c r="B5" s="98">
        <f>'Valuation Summary'!B9</f>
        <v>890</v>
      </c>
      <c r="C5" s="98">
        <f>'Valuation Summary'!B7</f>
        <v>2340.281709993691</v>
      </c>
      <c r="D5" s="99">
        <f>'Valuation Summary'!B10</f>
        <v>1.6295300112288664</v>
      </c>
      <c r="E5" s="100" t="str">
        <f>'Valuation Summary'!B22</f>
        <v>BUY</v>
      </c>
      <c r="F5" s="98">
        <f>'Valuation Summary'!B14</f>
        <v>387.46996723772747</v>
      </c>
      <c r="G5" s="98">
        <f>'Valuation Summary'!B15</f>
        <v>854.73509095974066</v>
      </c>
      <c r="H5" s="98">
        <f>'Valuation Summary'!B16</f>
        <v>1525.6251233507978</v>
      </c>
    </row>
    <row r="8" spans="1:11" ht="15" customHeight="1" outlineLevel="1" x14ac:dyDescent="0.2">
      <c r="A8" s="113" t="s">
        <v>436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</row>
    <row r="9" spans="1:11" ht="15" customHeight="1" outlineLevel="1" x14ac:dyDescent="0.2">
      <c r="A9" s="75" t="s">
        <v>1</v>
      </c>
      <c r="B9" s="75" t="s">
        <v>2</v>
      </c>
      <c r="C9" s="75" t="s">
        <v>3</v>
      </c>
      <c r="D9" s="75" t="s">
        <v>4</v>
      </c>
      <c r="E9" s="75" t="s">
        <v>5</v>
      </c>
      <c r="F9" s="75" t="s">
        <v>6</v>
      </c>
      <c r="G9" s="75" t="s">
        <v>7</v>
      </c>
      <c r="H9" s="75" t="s">
        <v>8</v>
      </c>
      <c r="I9" s="75" t="s">
        <v>9</v>
      </c>
      <c r="J9" s="75" t="s">
        <v>10</v>
      </c>
      <c r="K9" s="75" t="s">
        <v>11</v>
      </c>
    </row>
    <row r="10" spans="1:11" ht="15" customHeight="1" outlineLevel="1" x14ac:dyDescent="0.2">
      <c r="A10" s="7" t="s">
        <v>437</v>
      </c>
      <c r="B10" s="79">
        <f>'Income Statement'!B30/'Income Statement'!B5</f>
        <v>3.4981905910735828E-2</v>
      </c>
      <c r="C10" s="79">
        <f>'Income Statement'!C30/'Income Statement'!C5</f>
        <v>7.8273958855995987E-2</v>
      </c>
      <c r="D10" s="79">
        <f>'Income Statement'!D30/'Income Statement'!D5</f>
        <v>9.6850861556743911E-2</v>
      </c>
      <c r="E10" s="79">
        <f>'Income Statement'!E30/'Income Statement'!E5</f>
        <v>4.6875E-2</v>
      </c>
      <c r="F10" s="79">
        <f>'Income Statement'!F30/'Income Statement'!F5</f>
        <v>1.3888888888888888E-2</v>
      </c>
      <c r="G10" s="79">
        <f>'Income Statement'!G30/'Income Statement'!G5</f>
        <v>2.2775800711743774E-2</v>
      </c>
      <c r="H10" s="79">
        <f>'Income Statement'!H30/'Income Statement'!H5</f>
        <v>6.9496021220159146E-2</v>
      </c>
      <c r="I10" s="79">
        <f>'Income Statement'!I30/'Income Statement'!I5</f>
        <v>0.12580437580437581</v>
      </c>
      <c r="J10" s="79">
        <f>'Income Statement'!J30/'Income Statement'!J5</f>
        <v>0.10042152243987107</v>
      </c>
      <c r="K10" s="79">
        <f>'Income Statement'!K30/'Income Statement'!K5</f>
        <v>0.10218479745106963</v>
      </c>
    </row>
  </sheetData>
  <mergeCells count="3">
    <mergeCell ref="A1:K1"/>
    <mergeCell ref="A3:K3"/>
    <mergeCell ref="A8:K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Key Ratio</vt:lpstr>
      <vt:lpstr>Market Data</vt:lpstr>
      <vt:lpstr>Forecast</vt:lpstr>
      <vt:lpstr>Income Statement</vt:lpstr>
      <vt:lpstr>Balance Sheet</vt:lpstr>
      <vt:lpstr>Cash Flow</vt:lpstr>
      <vt:lpstr>DCF Valuation</vt:lpstr>
      <vt:lpstr>Relative Valuation</vt:lpstr>
      <vt:lpstr>Scenario Analysis</vt:lpstr>
      <vt:lpstr>Sensitivity Analysis</vt:lpstr>
      <vt:lpstr>Valuation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Melvin</cp:lastModifiedBy>
  <cp:revision>12</cp:revision>
  <dcterms:created xsi:type="dcterms:W3CDTF">2026-08-01T12:59:22Z</dcterms:created>
  <dcterms:modified xsi:type="dcterms:W3CDTF">2026-08-02T02:47:27Z</dcterms:modified>
  <dc:language>en-US</dc:language>
</cp:coreProperties>
</file>